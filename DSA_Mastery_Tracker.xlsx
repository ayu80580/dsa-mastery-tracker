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oadmap" sheetId="2" state="visible" r:id="rId4"/>
    <sheet name="Problems" sheetId="3" state="visible" r:id="rId5"/>
    <sheet name="ContestLog" sheetId="4" state="visible" r:id="rId6"/>
    <sheet name="Dashboard" sheetId="5" state="visible" r:id="rId7"/>
  </sheets>
  <definedNames>
    <definedName function="false" hidden="true" localSheetId="2" name="_xlnm._FilterDatabase" vbProcedure="false">Problems!$A$1:$L$395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<sst xmlns="http://schemas.openxmlformats.org/spreadsheetml/2006/main" count="2279" uniqueCount="604">
  <si>
    <t xml:space="preserve">DSA Mastery Tracker: 36-week LeetCode plan (Oct 2026 to Jun 2027)</t>
  </si>
  <si>
    <t xml:space="preserve">Inputs (yellow cells are yours to edit)</t>
  </si>
  <si>
    <t xml:space="preserve">Plan start date (a Monday)</t>
  </si>
  <si>
    <t xml:space="preserve">Assumption: Week 0 starts here; Week 1 starts 7 days later. Change it and the Roadmap dates update.</t>
  </si>
  <si>
    <t xml:space="preserve">HOW THE SHEETS FIT TOGETHER</t>
  </si>
  <si>
    <t xml:space="preserve">Roadmap</t>
  </si>
  <si>
    <t xml:space="preserve">Week-by-week plan: topic, patterns to own, how many problems, and mock/contest checkpoints.</t>
  </si>
  <si>
    <t xml:space="preserve">Problems</t>
  </si>
  <si>
    <t xml:space="preserve">~390 LeetCode problems in a fixed order, each linked. Click the title to open it. Fill Status, Date Solved, Time, and Revisions Done.</t>
  </si>
  <si>
    <t xml:space="preserve">ContestLog</t>
  </si>
  <si>
    <t xml:space="preserve">Log every contest/mock: times, rank, mistakes, lessons. Delete the grey example row when you add your own.</t>
  </si>
  <si>
    <t xml:space="preserve">Dashboard</t>
  </si>
  <si>
    <t xml:space="preserve">Auto-updating progress by topic and a count of revisions due today.</t>
  </si>
  <si>
    <t xml:space="preserve">STATUS MEANINGS (Problems sheet)</t>
  </si>
  <si>
    <t xml:space="preserve">Todo</t>
  </si>
  <si>
    <t xml:space="preserve">Not attempted yet.</t>
  </si>
  <si>
    <t xml:space="preserve">Hint-solved</t>
  </si>
  <si>
    <t xml:space="preserve">Needed a hint or the editorial. Counts as NOT yet learned. Re-solve from a blank editor next day.</t>
  </si>
  <si>
    <t xml:space="preserve">Solved</t>
  </si>
  <si>
    <t xml:space="preserve">Solved yourself within the time limit below.</t>
  </si>
  <si>
    <t xml:space="preserve">Mastered</t>
  </si>
  <si>
    <t xml:space="preserve">Re-solved cleanly at least 3 times across revisions (Revisions Done &gt;= 3) within the time limit.</t>
  </si>
  <si>
    <t xml:space="preserve">THE LOOP FOR EVERY PROBLEM</t>
  </si>
  <si>
    <t xml:space="preserve">1. Think (time-boxed)</t>
  </si>
  <si>
    <t xml:space="preserve">Easy 15 min, Medium 25-30 min, Hard 40 min. Write the brute force first, then optimise. Say the approach out loud or in a comment before coding.</t>
  </si>
  <si>
    <t xml:space="preserve">2. Hint ladder</t>
  </si>
  <si>
    <t xml:space="preserve">Stuck at the limit: read only the topic tag/first hint, try 10 more min, then the editorial. Mark Hint-solved.</t>
  </si>
  <si>
    <t xml:space="preserve">3. Close the editorial and re-solve</t>
  </si>
  <si>
    <t xml:space="preserve">Re-write the solution from a blank editor the same day. If you cannot, you did not learn it yet.</t>
  </si>
  <si>
    <t xml:space="preserve">4. Write the pattern, not the code</t>
  </si>
  <si>
    <t xml:space="preserve">Fill the Pattern column in one sentence: 'what signal told me which technique' + 'the invariant'. Memorise the invariant, not lines of code. This fixes the 'cannot recall the code' problem.</t>
  </si>
  <si>
    <t xml:space="preserve">5. Spaced revision</t>
  </si>
  <si>
    <t xml:space="preserve">Next Revision Due = Date Solved + 1, 3, 7, 21, 60 days. After each timed re-solve from scratch, add 1 to Revisions Done. Failed? Set Revisions Done back to 0 and re-solve tomorrow.</t>
  </si>
  <si>
    <t xml:space="preserve">Revision time limits</t>
  </si>
  <si>
    <t xml:space="preserve">Easy 10 min, Medium 20 min, Hard 35 min. Beyond that, count it as a fail.</t>
  </si>
  <si>
    <t xml:space="preserve">WEEKLY RHYTHM (adapt around M.Tech)</t>
  </si>
  <si>
    <t xml:space="preserve">Mon-Fri (2-3 h)</t>
  </si>
  <si>
    <t xml:space="preserve">30 min revision queue (filter Problems by Next Revision Due &lt;= today) + 60-90 min new problems (2 per day) + 15 min pattern notes.</t>
  </si>
  <si>
    <t xml:space="preserve">Minimum viable day (45 min)</t>
  </si>
  <si>
    <t xml:space="preserve">1 revision + 1 new problem. Never zero. Exam/assignment weeks: do only this, and do not skip revisions.</t>
  </si>
  <si>
    <t xml:space="preserve">Saturday</t>
  </si>
  <si>
    <t xml:space="preserve">Biweekly contest (every other week, about 8:00 PM IST) or a virtual contest, then upsolve. Check leetcode.com/contest for exact timings, they can change.</t>
  </si>
  <si>
    <t xml:space="preserve">Sunday</t>
  </si>
  <si>
    <t xml:space="preserve">Weekly contest (about 8:00 AM IST), upsolve the unsolved problems within 24 h, then a 30 min weekly review: log mistakes and plan next week.</t>
  </si>
  <si>
    <t xml:space="preserve">Contests from Week 2</t>
  </si>
  <si>
    <t xml:space="preserve">Attend every contest live. Targets: 2 Qs by Week 12, 3 Qs by Week 24, 3-4 Qs regularly by Week 36. Log them in ContestLog.</t>
  </si>
  <si>
    <t xml:space="preserve">Checkpoints</t>
  </si>
  <si>
    <t xml:space="preserve">MOCK OA at the end of Weeks 7, 16, 24, 30, 35: 90 min, 3 unseen problems, no hints, no autocomplete help. Treat results as truth about what to fix next.</t>
  </si>
  <si>
    <t xml:space="preserve">WEEK 0 DIAGNOSTIC (do this first)</t>
  </si>
  <si>
    <t xml:space="preserve">Step 1</t>
  </si>
  <si>
    <t xml:space="preserve">Pick 6 problems you have already solved on LeetCode (2 Easy, 3 Medium, 1 Hard) from different topics. Re-solve each from a blank editor under the revision time limits.</t>
  </si>
  <si>
    <t xml:space="preserve">Step 2</t>
  </si>
  <si>
    <t xml:space="preserve">In the Problems sheet, mark Status for any problem you already know cold as Solved (add a date). Anything you could not redo goes to Hint-solved. Expect this to shrink the 'new' workload.</t>
  </si>
  <si>
    <t xml:space="preserve">Step 3</t>
  </si>
  <si>
    <t xml:space="preserve">Set up a notes doc with one page per pattern (sliding window, binary search on answer, BFS, DP states...), each with a clean template.</t>
  </si>
  <si>
    <t xml:space="preserve">PRIORITY COLUMN</t>
  </si>
  <si>
    <t xml:space="preserve">P1</t>
  </si>
  <si>
    <t xml:space="preserve">Core problems every strong candidate should solve. If a week runs short on time, do P1 first.</t>
  </si>
  <si>
    <t xml:space="preserve">P2</t>
  </si>
  <si>
    <t xml:space="preserve">Extra practice and variations. Do them if time allows or if the topic is a weak spot.</t>
  </si>
  <si>
    <t xml:space="preserve">OTHER PLATFORMS (only if useful)</t>
  </si>
  <si>
    <t xml:space="preserve">Codeforces (optional)</t>
  </si>
  <si>
    <t xml:space="preserve">After Week 24, add 1 problem a week at 1200-1500 rating (codeforces.com/problemset). Useful for speed and for competitive-style OAs. Not needed for most company interviews.</t>
  </si>
  <si>
    <t xml:space="preserve">CSES Problem Set</t>
  </si>
  <si>
    <t xml:space="preserve">cses.fi/problemset is a clean, topic-ordered set for algorithmic depth (DP, graphs, trees, range queries).</t>
  </si>
  <si>
    <t xml:space="preserve">NeetCode 150 / Striver sheet</t>
  </si>
  <si>
    <t xml:space="preserve">neetcode.io/practice and takeuforward.org for solution videos when you are stuck. This sheet overlaps with them heavily.</t>
  </si>
  <si>
    <t xml:space="preserve">NOTES</t>
  </si>
  <si>
    <t xml:space="preserve">Problem difficulty and links</t>
  </si>
  <si>
    <t xml:space="preserve">Links are built from LeetCode problem URLs (leetcode.com/problems/&lt;name&gt;/). If a link ever fails, search the title. Premium-only problems were left out on purpose.</t>
  </si>
  <si>
    <t xml:space="preserve">Why not everything in one pass?</t>
  </si>
  <si>
    <t xml:space="preserve">You have already solved 200+ problems. Many rows will be quick re-solves. That is the point: converting 'seen it' into 'can reproduce it under time pressure'.</t>
  </si>
  <si>
    <t xml:space="preserve">Week</t>
  </si>
  <si>
    <t xml:space="preserve">Starts</t>
  </si>
  <si>
    <t xml:space="preserve">Phase</t>
  </si>
  <si>
    <t xml:space="preserve">Focus topic</t>
  </si>
  <si>
    <t xml:space="preserve">Patterns to own</t>
  </si>
  <si>
    <t xml:space="preserve">New problems</t>
  </si>
  <si>
    <t xml:space="preserve">P1 problems</t>
  </si>
  <si>
    <t xml:space="preserve">Checkpoint / contest goal</t>
  </si>
  <si>
    <t xml:space="preserve">Phase 0: Diagnostic</t>
  </si>
  <si>
    <t xml:space="preserve">Diagnostic &amp; Setup</t>
  </si>
  <si>
    <t xml:space="preserve">re-solve 6 known problems timed; build pattern notebook; set up trackers</t>
  </si>
  <si>
    <t xml:space="preserve">Diagnostic: re-solve 6 known problems</t>
  </si>
  <si>
    <t xml:space="preserve">Phase 1: Rebuild Core</t>
  </si>
  <si>
    <t xml:space="preserve">Arrays &amp; Hashing</t>
  </si>
  <si>
    <t xml:space="preserve">hash-map counting, complement lookup, prefix sum + map</t>
  </si>
  <si>
    <t xml:space="preserve">Try one virtual contest to get a baseline</t>
  </si>
  <si>
    <t xml:space="preserve">Two Pointers &amp; Sliding Window</t>
  </si>
  <si>
    <t xml:space="preserve">opposite-end pointers, variable window, window + hashmap</t>
  </si>
  <si>
    <t xml:space="preserve">Weekly contest live + upsolve</t>
  </si>
  <si>
    <t xml:space="preserve">Sliding Window II &amp; Prefix Sums</t>
  </si>
  <si>
    <t xml:space="preserve">at-most-K trick, prefix sum + map, Kadane</t>
  </si>
  <si>
    <t xml:space="preserve">Intervals, Matrix &amp; Array Tricks</t>
  </si>
  <si>
    <t xml:space="preserve">sort + sweep, in-place matrix ops, index marking</t>
  </si>
  <si>
    <t xml:space="preserve">Stack &amp; Monotonic Stack</t>
  </si>
  <si>
    <t xml:space="preserve">monotonic stack (next greater), stack simulation, expression parsing</t>
  </si>
  <si>
    <t xml:space="preserve">Binary Search</t>
  </si>
  <si>
    <t xml:space="preserve">lower/upper bound template, rotated arrays, binary search on answer</t>
  </si>
  <si>
    <t xml:space="preserve">Linked List &amp; Design Basics</t>
  </si>
  <si>
    <t xml:space="preserve">fast/slow pointers, dummy node, in-place reversal, hashmap + DLL</t>
  </si>
  <si>
    <t xml:space="preserve">MOCK OA #1 (90 min, 3 Qs from Weeks 1-7, unseen)</t>
  </si>
  <si>
    <t xml:space="preserve">Phase 2: Trees, Heaps, Backtracking, Graphs</t>
  </si>
  <si>
    <t xml:space="preserve">Trees I: DFS &amp; Recursion</t>
  </si>
  <si>
    <t xml:space="preserve">what to return vs what to store globally, iterative traversals</t>
  </si>
  <si>
    <t xml:space="preserve">Trees II: BFS, LCA, Construction</t>
  </si>
  <si>
    <t xml:space="preserve">level-order BFS, LCA, build from traversals, serialize</t>
  </si>
  <si>
    <t xml:space="preserve">BST &amp; Tries</t>
  </si>
  <si>
    <t xml:space="preserve">BST invariants, inorder = sorted, trie insert/search/prefix</t>
  </si>
  <si>
    <t xml:space="preserve">Heap / Priority Queue</t>
  </si>
  <si>
    <t xml:space="preserve">top-K with heap, two heaps, merge K, scheduling</t>
  </si>
  <si>
    <t xml:space="preserve">Backtracking I</t>
  </si>
  <si>
    <t xml:space="preserve">choose / explore / un-choose, dedupe via sort, pruning</t>
  </si>
  <si>
    <t xml:space="preserve">Backtracking II</t>
  </si>
  <si>
    <t xml:space="preserve">constraint pruning, bitmask state, N-Queens</t>
  </si>
  <si>
    <t xml:space="preserve">Graphs I: BFS/DFS &amp; Grids</t>
  </si>
  <si>
    <t xml:space="preserve">multi-source BFS, flood fill, visited marking</t>
  </si>
  <si>
    <t xml:space="preserve">Graphs II: Topo Sort &amp; Union-Find</t>
  </si>
  <si>
    <t xml:space="preserve">Kahn's algorithm, cycle detection, DSU with path compression</t>
  </si>
  <si>
    <t xml:space="preserve">Graphs III: Shortest Path, MST, Hard</t>
  </si>
  <si>
    <t xml:space="preserve">Dijkstra, Bellman-Ford (K stops), Prim/Kruskal, bridges</t>
  </si>
  <si>
    <t xml:space="preserve">MOCK OA #2 (90 min, 3 Qs from Weeks 8-16)</t>
  </si>
  <si>
    <t xml:space="preserve">Phase 3: Greedy &amp; Dynamic Programming</t>
  </si>
  <si>
    <t xml:space="preserve">Greedy</t>
  </si>
  <si>
    <t xml:space="preserve">exchange argument, sort + greedy, local vs global optimum</t>
  </si>
  <si>
    <t xml:space="preserve">DP I: 1D</t>
  </si>
  <si>
    <t xml:space="preserve">define state, write recurrence, space-optimise, unbounded knapsack</t>
  </si>
  <si>
    <t xml:space="preserve">DP II: Subsets &amp; Subsequences</t>
  </si>
  <si>
    <t xml:space="preserve">0/1 knapsack, LIS (n log n), palindromic DP</t>
  </si>
  <si>
    <t xml:space="preserve">DP III: Grid DP</t>
  </si>
  <si>
    <t xml:space="preserve">grid paths, memo vs tabulation, DP on matrices</t>
  </si>
  <si>
    <t xml:space="preserve">DP IV: Strings (2D)</t>
  </si>
  <si>
    <t xml:space="preserve">LCS family, edit distance, string-matching DP</t>
  </si>
  <si>
    <t xml:space="preserve">DP V: Stocks, Games, Interval DP</t>
  </si>
  <si>
    <t xml:space="preserve">state machines, interval DP, minimax games</t>
  </si>
  <si>
    <t xml:space="preserve">DP VI: Bitmask, Tree DP, Optimisation</t>
  </si>
  <si>
    <t xml:space="preserve">bitmask DP, DP on trees, DP + binary search</t>
  </si>
  <si>
    <t xml:space="preserve">DP VII: Mixed Consolidation</t>
  </si>
  <si>
    <t xml:space="preserve">spot the DP state from scratch under a timer</t>
  </si>
  <si>
    <t xml:space="preserve">MIDPOINT MOCK #3 + full review of Hint-solved list</t>
  </si>
  <si>
    <t xml:space="preserve">Phase 4: Advanced Techniques &amp; Speed</t>
  </si>
  <si>
    <t xml:space="preserve">Bit Manipulation &amp; Math</t>
  </si>
  <si>
    <t xml:space="preserve">XOR tricks, masks, fast power, number theory basics</t>
  </si>
  <si>
    <t xml:space="preserve">Advanced Windows &amp; Monotonic Deque</t>
  </si>
  <si>
    <t xml:space="preserve">monotonic deque, atMost(K) - atMost(K-1), prefix windows</t>
  </si>
  <si>
    <t xml:space="preserve">String Algorithms &amp; Simulation</t>
  </si>
  <si>
    <t xml:space="preserve">KMP / Z / rolling hash, careful parsing and simulation</t>
  </si>
  <si>
    <t xml:space="preserve">Segment Tree / BIT / Sweep Line</t>
  </si>
  <si>
    <t xml:space="preserve">Fenwick tree, segment tree, coordinate compression, sweep line</t>
  </si>
  <si>
    <t xml:space="preserve">Design Problems</t>
  </si>
  <si>
    <t xml:space="preserve">hashmap + DLL, randomised sets, clean API design</t>
  </si>
  <si>
    <t xml:space="preserve">Advanced Graph &amp; Mixed Hard</t>
  </si>
  <si>
    <t xml:space="preserve">0-1 BFS, Dijkstra variants, topo + grouping</t>
  </si>
  <si>
    <t xml:space="preserve">MOCK OA #4 (mixed, include 1 Hard)</t>
  </si>
  <si>
    <t xml:space="preserve">Phase 5: Interview Simulation</t>
  </si>
  <si>
    <t xml:space="preserve">Mixed Hard A</t>
  </si>
  <si>
    <t xml:space="preserve">recognise the pattern with no topic label</t>
  </si>
  <si>
    <t xml:space="preserve">Mixed B: Classic Interview Favourites</t>
  </si>
  <si>
    <t xml:space="preserve">pattern recognition under time pressure</t>
  </si>
  <si>
    <t xml:space="preserve">Mixed C</t>
  </si>
  <si>
    <t xml:space="preserve">MOCK INTERVIEW (45 min, 2 Qs, speak aloud)</t>
  </si>
  <si>
    <t xml:space="preserve">Mixed D</t>
  </si>
  <si>
    <t xml:space="preserve">Final Mocks &amp; Company-style Hard</t>
  </si>
  <si>
    <t xml:space="preserve">90-min OA simulation, no hints</t>
  </si>
  <si>
    <t xml:space="preserve">MOCK OA #5 + MOCK INTERVIEW #2</t>
  </si>
  <si>
    <t xml:space="preserve">Final Mocks &amp; Weak-Spot Repair</t>
  </si>
  <si>
    <t xml:space="preserve">re-solve everything you marked Hint-solved; rest before interviews</t>
  </si>
  <si>
    <t xml:space="preserve">2 final dress rehearsals, then taper</t>
  </si>
  <si>
    <t xml:space="preserve">Total</t>
  </si>
  <si>
    <t xml:space="preserve">#</t>
  </si>
  <si>
    <t xml:space="preserve">Topic</t>
  </si>
  <si>
    <t xml:space="preserve">Problem (click to open)</t>
  </si>
  <si>
    <t xml:space="preserve">Difficulty</t>
  </si>
  <si>
    <t xml:space="preserve">Priority</t>
  </si>
  <si>
    <t xml:space="preserve">Status</t>
  </si>
  <si>
    <t xml:space="preserve">Date Solved</t>
  </si>
  <si>
    <t xml:space="preserve">Time (min)</t>
  </si>
  <si>
    <t xml:space="preserve">Revisions Done (0-5)</t>
  </si>
  <si>
    <t xml:space="preserve">Next Revision Due</t>
  </si>
  <si>
    <t xml:space="preserve">Pattern / key idea (your words)</t>
  </si>
  <si>
    <t xml:space="preserve">Two Sum</t>
  </si>
  <si>
    <t xml:space="preserve">Easy</t>
  </si>
  <si>
    <t xml:space="preserve">Contains Duplicate</t>
  </si>
  <si>
    <t xml:space="preserve">Valid Anagram</t>
  </si>
  <si>
    <t xml:space="preserve">Group Anagrams</t>
  </si>
  <si>
    <t xml:space="preserve">Medium</t>
  </si>
  <si>
    <t xml:space="preserve">Top K Frequent Elements</t>
  </si>
  <si>
    <t xml:space="preserve">Product of Array Except Self</t>
  </si>
  <si>
    <t xml:space="preserve">Longest Consecutive Sequence</t>
  </si>
  <si>
    <t xml:space="preserve">Subarray Sum Equals K</t>
  </si>
  <si>
    <t xml:space="preserve">Majority Element</t>
  </si>
  <si>
    <t xml:space="preserve">Sort Colors</t>
  </si>
  <si>
    <t xml:space="preserve">Next Permutation</t>
  </si>
  <si>
    <t xml:space="preserve">Valid Palindrome</t>
  </si>
  <si>
    <t xml:space="preserve">Two Sum II Input Array Is Sorted</t>
  </si>
  <si>
    <t xml:space="preserve">3sum</t>
  </si>
  <si>
    <t xml:space="preserve">Container with Most Water</t>
  </si>
  <si>
    <t xml:space="preserve">Trapping Rain Water</t>
  </si>
  <si>
    <t xml:space="preserve">Hard</t>
  </si>
  <si>
    <t xml:space="preserve">Best Time to Buy and Sell Stock</t>
  </si>
  <si>
    <t xml:space="preserve">Longest Substring Without Repeating Characters</t>
  </si>
  <si>
    <t xml:space="preserve">Longest Repeating Character Replacement</t>
  </si>
  <si>
    <t xml:space="preserve">Permutation in String</t>
  </si>
  <si>
    <t xml:space="preserve">Minimum Window Substring</t>
  </si>
  <si>
    <t xml:space="preserve">Sliding Window Maximum</t>
  </si>
  <si>
    <t xml:space="preserve">Minimum Size Subarray Sum</t>
  </si>
  <si>
    <t xml:space="preserve">Max Consecutive Ones III</t>
  </si>
  <si>
    <t xml:space="preserve">Fruit Into Baskets</t>
  </si>
  <si>
    <t xml:space="preserve">Find All Anagrams in a String</t>
  </si>
  <si>
    <t xml:space="preserve">Maximum Subarray</t>
  </si>
  <si>
    <t xml:space="preserve">Range Sum Query Immutable</t>
  </si>
  <si>
    <t xml:space="preserve">Contiguous Array</t>
  </si>
  <si>
    <t xml:space="preserve">Continuous Subarray Sum</t>
  </si>
  <si>
    <t xml:space="preserve">Maximum Product Subarray</t>
  </si>
  <si>
    <t xml:space="preserve">4sum</t>
  </si>
  <si>
    <t xml:space="preserve">Merge Intervals</t>
  </si>
  <si>
    <t xml:space="preserve">Insert Interval</t>
  </si>
  <si>
    <t xml:space="preserve">Non Overlapping Intervals</t>
  </si>
  <si>
    <t xml:space="preserve">Minimum Number of Arrows to Burst Balloons</t>
  </si>
  <si>
    <t xml:space="preserve">Set Matrix Zeroes</t>
  </si>
  <si>
    <t xml:space="preserve">Rotate Image</t>
  </si>
  <si>
    <t xml:space="preserve">Spiral Matrix</t>
  </si>
  <si>
    <t xml:space="preserve">Rotate Array</t>
  </si>
  <si>
    <t xml:space="preserve">First Missing Positive</t>
  </si>
  <si>
    <t xml:space="preserve">Find the Duplicate Number</t>
  </si>
  <si>
    <t xml:space="preserve">Valid Parentheses</t>
  </si>
  <si>
    <t xml:space="preserve">Min Stack</t>
  </si>
  <si>
    <t xml:space="preserve">Evaluate Reverse Polish Notation</t>
  </si>
  <si>
    <t xml:space="preserve">Daily Temperatures</t>
  </si>
  <si>
    <t xml:space="preserve">Next Greater Element I</t>
  </si>
  <si>
    <t xml:space="preserve">Car Fleet</t>
  </si>
  <si>
    <t xml:space="preserve">Largest Rectangle in Histogram</t>
  </si>
  <si>
    <t xml:space="preserve">Decode String</t>
  </si>
  <si>
    <t xml:space="preserve">Asteroid Collision</t>
  </si>
  <si>
    <t xml:space="preserve">Online Stock Span</t>
  </si>
  <si>
    <t xml:space="preserve">Remove K Digits</t>
  </si>
  <si>
    <t xml:space="preserve">Sum of Subarray Minimums</t>
  </si>
  <si>
    <t xml:space="preserve">Basic Calculator II</t>
  </si>
  <si>
    <t xml:space="preserve">Search Insert Position</t>
  </si>
  <si>
    <t xml:space="preserve">Search a 2D Matrix</t>
  </si>
  <si>
    <t xml:space="preserve">Koko Eating Bananas</t>
  </si>
  <si>
    <t xml:space="preserve">Find Minimum in Rotated Sorted Array</t>
  </si>
  <si>
    <t xml:space="preserve">Search in Rotated Sorted Array</t>
  </si>
  <si>
    <t xml:space="preserve">Find First and Last Position of Element in Sorted Array</t>
  </si>
  <si>
    <t xml:space="preserve">Capacity to Ship Packages Within D Days</t>
  </si>
  <si>
    <t xml:space="preserve">Split Array Largest Sum</t>
  </si>
  <si>
    <t xml:space="preserve">Find Peak Element</t>
  </si>
  <si>
    <t xml:space="preserve">Single Element in a Sorted Array</t>
  </si>
  <si>
    <t xml:space="preserve">Median of Two Sorted Arrays</t>
  </si>
  <si>
    <t xml:space="preserve">Time Based Key Value Store</t>
  </si>
  <si>
    <t xml:space="preserve">Magnetic Force Between Two Balls</t>
  </si>
  <si>
    <t xml:space="preserve">Minimum Number of Days to Make M Bouquets</t>
  </si>
  <si>
    <t xml:space="preserve">Reverse Linked List</t>
  </si>
  <si>
    <t xml:space="preserve">Merge Two Sorted Lists</t>
  </si>
  <si>
    <t xml:space="preserve">Linked List Cycle</t>
  </si>
  <si>
    <t xml:space="preserve">Linked List Cycle II</t>
  </si>
  <si>
    <t xml:space="preserve">Middle of the Linked List</t>
  </si>
  <si>
    <t xml:space="preserve">Palindrome Linked List</t>
  </si>
  <si>
    <t xml:space="preserve">Reorder List</t>
  </si>
  <si>
    <t xml:space="preserve">Remove Nth Node from End of List</t>
  </si>
  <si>
    <t xml:space="preserve">Add Two Numbers</t>
  </si>
  <si>
    <t xml:space="preserve">Intersection of Two Linked Lists</t>
  </si>
  <si>
    <t xml:space="preserve">Sort List</t>
  </si>
  <si>
    <t xml:space="preserve">Copy List with Random Pointer</t>
  </si>
  <si>
    <t xml:space="preserve">Merge K Sorted Lists</t>
  </si>
  <si>
    <t xml:space="preserve">Reverse Nodes in K Group</t>
  </si>
  <si>
    <t xml:space="preserve">Lru Cache</t>
  </si>
  <si>
    <t xml:space="preserve">Invert Binary Tree</t>
  </si>
  <si>
    <t xml:space="preserve">Maximum Depth of Binary Tree</t>
  </si>
  <si>
    <t xml:space="preserve">Same Tree</t>
  </si>
  <si>
    <t xml:space="preserve">Subtree of Another Tree</t>
  </si>
  <si>
    <t xml:space="preserve">Symmetric Tree</t>
  </si>
  <si>
    <t xml:space="preserve">Diameter of Binary Tree</t>
  </si>
  <si>
    <t xml:space="preserve">Balanced Binary Tree</t>
  </si>
  <si>
    <t xml:space="preserve">Binary Tree Inorder Traversal</t>
  </si>
  <si>
    <t xml:space="preserve">Binary Tree Preorder Traversal</t>
  </si>
  <si>
    <t xml:space="preserve">Binary Tree Postorder Traversal</t>
  </si>
  <si>
    <t xml:space="preserve">Path Sum</t>
  </si>
  <si>
    <t xml:space="preserve">Path Sum II</t>
  </si>
  <si>
    <t xml:space="preserve">Path Sum III</t>
  </si>
  <si>
    <t xml:space="preserve">Sum Root to Leaf Numbers</t>
  </si>
  <si>
    <t xml:space="preserve">Count Good Nodes in Binary Tree</t>
  </si>
  <si>
    <t xml:space="preserve">Binary Tree Level Order Traversal</t>
  </si>
  <si>
    <t xml:space="preserve">Binary Tree Right Side View</t>
  </si>
  <si>
    <t xml:space="preserve">Binary Tree Zigzag Level Order Traversal</t>
  </si>
  <si>
    <t xml:space="preserve">Lowest Common Ancestor of a Binary Tree</t>
  </si>
  <si>
    <t xml:space="preserve">Construct Binary Tree from Preorder and Inorder Traversal</t>
  </si>
  <si>
    <t xml:space="preserve">Flatten Binary Tree to Linked List</t>
  </si>
  <si>
    <t xml:space="preserve">All Nodes Distance K in Binary Tree</t>
  </si>
  <si>
    <t xml:space="preserve">Maximum Width of Binary Tree</t>
  </si>
  <si>
    <t xml:space="preserve">Serialize and Deserialize Binary Tree</t>
  </si>
  <si>
    <t xml:space="preserve">Binary Tree Maximum Path Sum</t>
  </si>
  <si>
    <t xml:space="preserve">House Robber III</t>
  </si>
  <si>
    <t xml:space="preserve">Vertical Order Traversal of a Binary Tree</t>
  </si>
  <si>
    <t xml:space="preserve">Validate Binary Search Tree</t>
  </si>
  <si>
    <t xml:space="preserve">Kth Smallest Element in a Bst</t>
  </si>
  <si>
    <t xml:space="preserve">Lowest Common Ancestor of a Binary Search Tree</t>
  </si>
  <si>
    <t xml:space="preserve">Convert Sorted Array to Binary Search Tree</t>
  </si>
  <si>
    <t xml:space="preserve">Delete Node in a Bst</t>
  </si>
  <si>
    <t xml:space="preserve">Recover Binary Search Tree</t>
  </si>
  <si>
    <t xml:space="preserve">Implement Trie Prefix Tree</t>
  </si>
  <si>
    <t xml:space="preserve">Design Add and Search Words Data Structure</t>
  </si>
  <si>
    <t xml:space="preserve">Word Search II</t>
  </si>
  <si>
    <t xml:space="preserve">Replace Words</t>
  </si>
  <si>
    <t xml:space="preserve">Search Suggestions System</t>
  </si>
  <si>
    <t xml:space="preserve">Maximum Xor of Two Numbers in an Array</t>
  </si>
  <si>
    <t xml:space="preserve">Kth Largest Element in an Array</t>
  </si>
  <si>
    <t xml:space="preserve">Last Stone Weight</t>
  </si>
  <si>
    <t xml:space="preserve">K Closest Points to Origin</t>
  </si>
  <si>
    <t xml:space="preserve">Task Scheduler</t>
  </si>
  <si>
    <t xml:space="preserve">Find Median from Data Stream</t>
  </si>
  <si>
    <t xml:space="preserve">Reorganize String</t>
  </si>
  <si>
    <t xml:space="preserve">Top K Frequent Words</t>
  </si>
  <si>
    <t xml:space="preserve">Kth Largest Element in a Stream</t>
  </si>
  <si>
    <t xml:space="preserve">Design Twitter</t>
  </si>
  <si>
    <t xml:space="preserve">Find K Pairs with Smallest Sums</t>
  </si>
  <si>
    <t xml:space="preserve">Ipo</t>
  </si>
  <si>
    <t xml:space="preserve">Sliding Window Median</t>
  </si>
  <si>
    <t xml:space="preserve">Smallest Range Covering Elements from K Lists</t>
  </si>
  <si>
    <t xml:space="preserve">Subsets</t>
  </si>
  <si>
    <t xml:space="preserve">Subsets II</t>
  </si>
  <si>
    <t xml:space="preserve">Permutations</t>
  </si>
  <si>
    <t xml:space="preserve">Permutations II</t>
  </si>
  <si>
    <t xml:space="preserve">Combination Sum</t>
  </si>
  <si>
    <t xml:space="preserve">Combination Sum II</t>
  </si>
  <si>
    <t xml:space="preserve">Combinations</t>
  </si>
  <si>
    <t xml:space="preserve">Letter Combinations of a Phone Number</t>
  </si>
  <si>
    <t xml:space="preserve">Generate Parentheses</t>
  </si>
  <si>
    <t xml:space="preserve">Palindrome Partitioning</t>
  </si>
  <si>
    <t xml:space="preserve">Word Search</t>
  </si>
  <si>
    <t xml:space="preserve">Restore Ip Addresses</t>
  </si>
  <si>
    <t xml:space="preserve">N Queens</t>
  </si>
  <si>
    <t xml:space="preserve">Sudoku Solver</t>
  </si>
  <si>
    <t xml:space="preserve">Partition to K Equal Sum Subsets</t>
  </si>
  <si>
    <t xml:space="preserve">Matchsticks to Square</t>
  </si>
  <si>
    <t xml:space="preserve">Combination Sum III</t>
  </si>
  <si>
    <t xml:space="preserve">Expression Add Operators</t>
  </si>
  <si>
    <t xml:space="preserve">Beautiful Arrangement</t>
  </si>
  <si>
    <t xml:space="preserve">Gray Code</t>
  </si>
  <si>
    <t xml:space="preserve">Unique Paths III</t>
  </si>
  <si>
    <t xml:space="preserve">Number of Islands</t>
  </si>
  <si>
    <t xml:space="preserve">Max Area of Island</t>
  </si>
  <si>
    <t xml:space="preserve">Clone Graph</t>
  </si>
  <si>
    <t xml:space="preserve">Pacific Atlantic Water Flow</t>
  </si>
  <si>
    <t xml:space="preserve">Surrounded Regions</t>
  </si>
  <si>
    <t xml:space="preserve">Rotting Oranges</t>
  </si>
  <si>
    <t xml:space="preserve">01 Matrix</t>
  </si>
  <si>
    <t xml:space="preserve">Number of Enclaves</t>
  </si>
  <si>
    <t xml:space="preserve">Shortest Path in Binary Matrix</t>
  </si>
  <si>
    <t xml:space="preserve">Open the Lock</t>
  </si>
  <si>
    <t xml:space="preserve">Word Ladder</t>
  </si>
  <si>
    <t xml:space="preserve">Shortest Bridge</t>
  </si>
  <si>
    <t xml:space="preserve">Number of Provinces</t>
  </si>
  <si>
    <t xml:space="preserve">Is Graph Bipartite</t>
  </si>
  <si>
    <t xml:space="preserve">Course Schedule</t>
  </si>
  <si>
    <t xml:space="preserve">Course Schedule II</t>
  </si>
  <si>
    <t xml:space="preserve">Find Eventual Safe States</t>
  </si>
  <si>
    <t xml:space="preserve">Parallel Courses III</t>
  </si>
  <si>
    <t xml:space="preserve">Minimum Height Trees</t>
  </si>
  <si>
    <t xml:space="preserve">Redundant Connection</t>
  </si>
  <si>
    <t xml:space="preserve">Accounts Merge</t>
  </si>
  <si>
    <t xml:space="preserve">Most Stones Removed with Same Row or Column</t>
  </si>
  <si>
    <t xml:space="preserve">Satisfiability of Equality Equations</t>
  </si>
  <si>
    <t xml:space="preserve">Evaluate Division</t>
  </si>
  <si>
    <t xml:space="preserve">Find All Possible Recipes from Given Supplies</t>
  </si>
  <si>
    <t xml:space="preserve">Possible Bipartition</t>
  </si>
  <si>
    <t xml:space="preserve">Network Delay Time</t>
  </si>
  <si>
    <t xml:space="preserve">Cheapest Flights Within K Stops</t>
  </si>
  <si>
    <t xml:space="preserve">Path with Minimum Effort</t>
  </si>
  <si>
    <t xml:space="preserve">Swim in Rising Water</t>
  </si>
  <si>
    <t xml:space="preserve">Min Cost to Connect All Points</t>
  </si>
  <si>
    <t xml:space="preserve">Path with Maximum Probability</t>
  </si>
  <si>
    <t xml:space="preserve">Find the City with the Smallest Number of Neighbors at a Threshold Distance</t>
  </si>
  <si>
    <t xml:space="preserve">Reconstruct Itinerary</t>
  </si>
  <si>
    <t xml:space="preserve">Critical Connections in a Network</t>
  </si>
  <si>
    <t xml:space="preserve">Bus Routes</t>
  </si>
  <si>
    <t xml:space="preserve">Snakes and Ladders</t>
  </si>
  <si>
    <t xml:space="preserve">Making a Large Island</t>
  </si>
  <si>
    <t xml:space="preserve">Jump Game</t>
  </si>
  <si>
    <t xml:space="preserve">Jump Game II</t>
  </si>
  <si>
    <t xml:space="preserve">Gas Station</t>
  </si>
  <si>
    <t xml:space="preserve">Hand of Straights</t>
  </si>
  <si>
    <t xml:space="preserve">Partition Labels</t>
  </si>
  <si>
    <t xml:space="preserve">Valid Parenthesis String</t>
  </si>
  <si>
    <t xml:space="preserve">Candy</t>
  </si>
  <si>
    <t xml:space="preserve">Assign Cookies</t>
  </si>
  <si>
    <t xml:space="preserve">Boats to Save People</t>
  </si>
  <si>
    <t xml:space="preserve">Queue Reconstruction by Height</t>
  </si>
  <si>
    <t xml:space="preserve">Lemonade Change</t>
  </si>
  <si>
    <t xml:space="preserve">Merge Triplets to Form Target Triplet</t>
  </si>
  <si>
    <t xml:space="preserve">Car Pooling</t>
  </si>
  <si>
    <t xml:space="preserve">Climbing Stairs</t>
  </si>
  <si>
    <t xml:space="preserve">Min Cost Climbing Stairs</t>
  </si>
  <si>
    <t xml:space="preserve">House Robber</t>
  </si>
  <si>
    <t xml:space="preserve">House Robber II</t>
  </si>
  <si>
    <t xml:space="preserve">Decode Ways</t>
  </si>
  <si>
    <t xml:space="preserve">Coin Change</t>
  </si>
  <si>
    <t xml:space="preserve">Word Break</t>
  </si>
  <si>
    <t xml:space="preserve">Perfect Squares</t>
  </si>
  <si>
    <t xml:space="preserve">Integer Break</t>
  </si>
  <si>
    <t xml:space="preserve">Delete and Earn</t>
  </si>
  <si>
    <t xml:space="preserve">Maximum Sum Circular Subarray</t>
  </si>
  <si>
    <t xml:space="preserve">Combination Sum IV</t>
  </si>
  <si>
    <t xml:space="preserve">Longest Increasing Subsequence</t>
  </si>
  <si>
    <t xml:space="preserve">Number of Longest Increasing Subsequence</t>
  </si>
  <si>
    <t xml:space="preserve">Russian Doll Envelopes</t>
  </si>
  <si>
    <t xml:space="preserve">Partition Equal Subset Sum</t>
  </si>
  <si>
    <t xml:space="preserve">Target Sum</t>
  </si>
  <si>
    <t xml:space="preserve">Last Stone Weight II</t>
  </si>
  <si>
    <t xml:space="preserve">Ones and Zeroes</t>
  </si>
  <si>
    <t xml:space="preserve">Coin Change II</t>
  </si>
  <si>
    <t xml:space="preserve">Longest Palindromic Substring</t>
  </si>
  <si>
    <t xml:space="preserve">Palindromic Substrings</t>
  </si>
  <si>
    <t xml:space="preserve">Longest Palindromic Subsequence</t>
  </si>
  <si>
    <t xml:space="preserve">Unique Paths</t>
  </si>
  <si>
    <t xml:space="preserve">Unique Paths II</t>
  </si>
  <si>
    <t xml:space="preserve">Minimum Path Sum</t>
  </si>
  <si>
    <t xml:space="preserve">Triangle</t>
  </si>
  <si>
    <t xml:space="preserve">Minimum Falling Path Sum</t>
  </si>
  <si>
    <t xml:space="preserve">Maximal Square</t>
  </si>
  <si>
    <t xml:space="preserve">Count Square Submatrices with All Ones</t>
  </si>
  <si>
    <t xml:space="preserve">Cherry Pickup</t>
  </si>
  <si>
    <t xml:space="preserve">Dungeon Game</t>
  </si>
  <si>
    <t xml:space="preserve">Longest Increasing Path in a Matrix</t>
  </si>
  <si>
    <t xml:space="preserve">Longest Common Subsequence</t>
  </si>
  <si>
    <t xml:space="preserve">Edit Distance</t>
  </si>
  <si>
    <t xml:space="preserve">Distinct Subsequences</t>
  </si>
  <si>
    <t xml:space="preserve">Interleaving String</t>
  </si>
  <si>
    <t xml:space="preserve">Uncrossed Lines</t>
  </si>
  <si>
    <t xml:space="preserve">Minimum Ascii Delete Sum for Two Strings</t>
  </si>
  <si>
    <t xml:space="preserve">Shortest Common Supersequence</t>
  </si>
  <si>
    <t xml:space="preserve">Minimum Insertion Steps to Make a String Palindrome</t>
  </si>
  <si>
    <t xml:space="preserve">Palindrome Partitioning II</t>
  </si>
  <si>
    <t xml:space="preserve">Regular Expression Matching</t>
  </si>
  <si>
    <t xml:space="preserve">Wildcard Matching</t>
  </si>
  <si>
    <t xml:space="preserve">Best Time to Buy and Sell Stock with Cooldown</t>
  </si>
  <si>
    <t xml:space="preserve">Best Time to Buy and Sell Stock II</t>
  </si>
  <si>
    <t xml:space="preserve">Best Time to Buy and Sell Stock III</t>
  </si>
  <si>
    <t xml:space="preserve">Best Time to Buy and Sell Stock IV</t>
  </si>
  <si>
    <t xml:space="preserve">Best Time to Buy and Sell Stock with Transaction Fee</t>
  </si>
  <si>
    <t xml:space="preserve">Burst Balloons</t>
  </si>
  <si>
    <t xml:space="preserve">Minimum Cost to Cut a Stick</t>
  </si>
  <si>
    <t xml:space="preserve">Stone Game</t>
  </si>
  <si>
    <t xml:space="preserve">Predict the Winner</t>
  </si>
  <si>
    <t xml:space="preserve">Partition Array for Maximum Sum</t>
  </si>
  <si>
    <t xml:space="preserve">Super Egg Drop</t>
  </si>
  <si>
    <t xml:space="preserve">Shortest Path Visiting All Nodes</t>
  </si>
  <si>
    <t xml:space="preserve">Number of Ways to Wear Different Hats to Each Other</t>
  </si>
  <si>
    <t xml:space="preserve">Minimum Number of Work Sessions to Finish the Tasks</t>
  </si>
  <si>
    <t xml:space="preserve">Find the Shortest Superstring</t>
  </si>
  <si>
    <t xml:space="preserve">Number of Digit One</t>
  </si>
  <si>
    <t xml:space="preserve">Binary Tree Cameras</t>
  </si>
  <si>
    <t xml:space="preserve">Maximum Profit in Job Scheduling</t>
  </si>
  <si>
    <t xml:space="preserve">Longest Arithmetic Subsequence</t>
  </si>
  <si>
    <t xml:space="preserve">Knight Probability in Chessboard</t>
  </si>
  <si>
    <t xml:space="preserve">Stone Game II</t>
  </si>
  <si>
    <t xml:space="preserve">Arithmetic Slices</t>
  </si>
  <si>
    <t xml:space="preserve">Longest String Chain</t>
  </si>
  <si>
    <t xml:space="preserve">Maximum Length of Repeated Subarray</t>
  </si>
  <si>
    <t xml:space="preserve">Domino and Tromino Tiling</t>
  </si>
  <si>
    <t xml:space="preserve">Out of Boundary Paths</t>
  </si>
  <si>
    <t xml:space="preserve">Minimum Cost for Tickets</t>
  </si>
  <si>
    <t xml:space="preserve">Largest Divisible Subset</t>
  </si>
  <si>
    <t xml:space="preserve">Single Number</t>
  </si>
  <si>
    <t xml:space="preserve">Number of 1 Bits</t>
  </si>
  <si>
    <t xml:space="preserve">Counting Bits</t>
  </si>
  <si>
    <t xml:space="preserve">Reverse Bits</t>
  </si>
  <si>
    <t xml:space="preserve">Missing Number</t>
  </si>
  <si>
    <t xml:space="preserve">Sum of Two Integers</t>
  </si>
  <si>
    <t xml:space="preserve">Single Number II</t>
  </si>
  <si>
    <t xml:space="preserve">Single Number III</t>
  </si>
  <si>
    <t xml:space="preserve">Divide Two Integers</t>
  </si>
  <si>
    <t xml:space="preserve">Powx N</t>
  </si>
  <si>
    <t xml:space="preserve">Count Primes</t>
  </si>
  <si>
    <t xml:space="preserve">Happy Number</t>
  </si>
  <si>
    <t xml:space="preserve">Multiply Strings</t>
  </si>
  <si>
    <t xml:space="preserve">Plus One</t>
  </si>
  <si>
    <t xml:space="preserve">Shortest Subarray with Sum at Least K</t>
  </si>
  <si>
    <t xml:space="preserve">Constrained Subsequence Sum</t>
  </si>
  <si>
    <t xml:space="preserve">Jump Game Vi</t>
  </si>
  <si>
    <t xml:space="preserve">Longest Continuous Subarray with Absolute Diff Less Than or Equal to Limit</t>
  </si>
  <si>
    <t xml:space="preserve">Subarrays with K Different Integers</t>
  </si>
  <si>
    <t xml:space="preserve">Count Number of Nice Subarrays</t>
  </si>
  <si>
    <t xml:space="preserve">Number of Substrings Containing All Three Characters</t>
  </si>
  <si>
    <t xml:space="preserve">Maximum Points You Can Obtain from Cards</t>
  </si>
  <si>
    <t xml:space="preserve">Minimum Operations to Reduce X to Zero</t>
  </si>
  <si>
    <t xml:space="preserve">Find the Index of the First Occurrence in a String</t>
  </si>
  <si>
    <t xml:space="preserve">Repeated Substring Pattern</t>
  </si>
  <si>
    <t xml:space="preserve">Shortest Palindrome</t>
  </si>
  <si>
    <t xml:space="preserve">Longest Happy Prefix</t>
  </si>
  <si>
    <t xml:space="preserve">Longest Duplicate Substring</t>
  </si>
  <si>
    <t xml:space="preserve">Sum of Scores of Built Strings</t>
  </si>
  <si>
    <t xml:space="preserve">Longest Common Prefix</t>
  </si>
  <si>
    <t xml:space="preserve">String to Integer Atoi</t>
  </si>
  <si>
    <t xml:space="preserve">Zigzag Conversion</t>
  </si>
  <si>
    <t xml:space="preserve">Count and Say</t>
  </si>
  <si>
    <t xml:space="preserve">Integer to Roman</t>
  </si>
  <si>
    <t xml:space="preserve">Compare Version Numbers</t>
  </si>
  <si>
    <t xml:space="preserve">Text Justification</t>
  </si>
  <si>
    <t xml:space="preserve">Reverse Words in a String</t>
  </si>
  <si>
    <t xml:space="preserve">Range Sum Query Mutable</t>
  </si>
  <si>
    <t xml:space="preserve">Range Sum Query 2D Immutable</t>
  </si>
  <si>
    <t xml:space="preserve">Count of Smaller Numbers After Self</t>
  </si>
  <si>
    <t xml:space="preserve">Reverse Pairs</t>
  </si>
  <si>
    <t xml:space="preserve">My Calendar I</t>
  </si>
  <si>
    <t xml:space="preserve">My Calendar III</t>
  </si>
  <si>
    <t xml:space="preserve">Falling Squares</t>
  </si>
  <si>
    <t xml:space="preserve">The Skyline Problem</t>
  </si>
  <si>
    <t xml:space="preserve">Count of Range Sum</t>
  </si>
  <si>
    <t xml:space="preserve">Lfu Cache</t>
  </si>
  <si>
    <t xml:space="preserve">Design Hashmap</t>
  </si>
  <si>
    <t xml:space="preserve">Insert Delete Getrandom O1</t>
  </si>
  <si>
    <t xml:space="preserve">All Oone Data Structure</t>
  </si>
  <si>
    <t xml:space="preserve">Design Underground System</t>
  </si>
  <si>
    <t xml:space="preserve">Implement Queue Using Stacks</t>
  </si>
  <si>
    <t xml:space="preserve">Implement Stack Using Queues</t>
  </si>
  <si>
    <t xml:space="preserve">Design Browser History</t>
  </si>
  <si>
    <t xml:space="preserve">Snapshot Array</t>
  </si>
  <si>
    <t xml:space="preserve">Design Circular Queue</t>
  </si>
  <si>
    <t xml:space="preserve">Seat Reservation Manager</t>
  </si>
  <si>
    <t xml:space="preserve">Flatten Nested List Iterator</t>
  </si>
  <si>
    <t xml:space="preserve">Number of Ways to Arrive at Destination</t>
  </si>
  <si>
    <t xml:space="preserve">Shortest Path with Alternating Colors</t>
  </si>
  <si>
    <t xml:space="preserve">Minimum Obstacle Removal to Reach Corner</t>
  </si>
  <si>
    <t xml:space="preserve">Minimum Cost to Make at Least One Valid Path in a Grid</t>
  </si>
  <si>
    <t xml:space="preserve">Word Ladder II</t>
  </si>
  <si>
    <t xml:space="preserve">Sort Items by Groups Respecting Dependencies</t>
  </si>
  <si>
    <t xml:space="preserve">Reachable Nodes in Subdivided Graph</t>
  </si>
  <si>
    <t xml:space="preserve">Detect Cycles in 2D Grid</t>
  </si>
  <si>
    <t xml:space="preserve">Maximum Number of Points with Cost</t>
  </si>
  <si>
    <t xml:space="preserve">Path with Maximum Gold</t>
  </si>
  <si>
    <t xml:space="preserve">Longest Valid Parentheses</t>
  </si>
  <si>
    <t xml:space="preserve">Word Break II</t>
  </si>
  <si>
    <t xml:space="preserve">Maximum Frequency Stack</t>
  </si>
  <si>
    <t xml:space="preserve">Trapping Rain Water II</t>
  </si>
  <si>
    <t xml:space="preserve">Minimum Number of Refueling Stops</t>
  </si>
  <si>
    <t xml:space="preserve">Jump Game IV</t>
  </si>
  <si>
    <t xml:space="preserve">3sum Closest</t>
  </si>
  <si>
    <t xml:space="preserve">Max Points on a Line</t>
  </si>
  <si>
    <t xml:space="preserve">Merge Sorted Array</t>
  </si>
  <si>
    <t xml:space="preserve">Rotate List</t>
  </si>
  <si>
    <t xml:space="preserve">Swap Nodes in Pairs</t>
  </si>
  <si>
    <t xml:space="preserve">Odd Even Linked List</t>
  </si>
  <si>
    <t xml:space="preserve">Partition List</t>
  </si>
  <si>
    <t xml:space="preserve">Remove Duplicates from Sorted List II</t>
  </si>
  <si>
    <t xml:space="preserve">Reverse Linked List II</t>
  </si>
  <si>
    <t xml:space="preserve">Populating Next Right Pointers in Each Node</t>
  </si>
  <si>
    <t xml:space="preserve">Binary Search Tree Iterator</t>
  </si>
  <si>
    <t xml:space="preserve">Kth Smallest Element in a Sorted Matrix</t>
  </si>
  <si>
    <t xml:space="preserve">Search in Rotated Sorted Array II</t>
  </si>
  <si>
    <t xml:space="preserve">Unique Binary Search Trees</t>
  </si>
  <si>
    <t xml:space="preserve">Unique Binary Search Trees II</t>
  </si>
  <si>
    <t xml:space="preserve">Maximum Sum of 3 Non Overlapping Subarrays</t>
  </si>
  <si>
    <t xml:space="preserve">Find in Mountain Array</t>
  </si>
  <si>
    <t xml:space="preserve">Maximum Number of Events That Can Be Attended</t>
  </si>
  <si>
    <t xml:space="preserve">Non Decreasing Array</t>
  </si>
  <si>
    <t xml:space="preserve">Valid Sudoku</t>
  </si>
  <si>
    <t xml:space="preserve">Game of Life</t>
  </si>
  <si>
    <t xml:space="preserve">Bulls and Cows</t>
  </si>
  <si>
    <t xml:space="preserve">Lexicographical Numbers</t>
  </si>
  <si>
    <t xml:space="preserve">K Th Symbol in Grammar</t>
  </si>
  <si>
    <t xml:space="preserve">My Calendar II</t>
  </si>
  <si>
    <t xml:space="preserve">Smallest String with Swaps</t>
  </si>
  <si>
    <t xml:space="preserve">Maximum Score of a Good Subarray</t>
  </si>
  <si>
    <t xml:space="preserve">Longest Increasing Subsequence II</t>
  </si>
  <si>
    <t xml:space="preserve">Minimum Interval to Include Each Query</t>
  </si>
  <si>
    <t xml:space="preserve">Maximum Subarray Min Product</t>
  </si>
  <si>
    <t xml:space="preserve">Find Duplicate Subtrees</t>
  </si>
  <si>
    <t xml:space="preserve">Longest Zigzag Path in a Binary Tree</t>
  </si>
  <si>
    <t xml:space="preserve">Lowest Common Ancestor of Deepest Leaves</t>
  </si>
  <si>
    <t xml:space="preserve">Count Complete Tree Nodes</t>
  </si>
  <si>
    <t xml:space="preserve">Maximal Rectangle</t>
  </si>
  <si>
    <t xml:space="preserve">Minimum Cost to Hire K Workers</t>
  </si>
  <si>
    <t xml:space="preserve">Longest Substring with at Least K Repeating Characters</t>
  </si>
  <si>
    <t xml:space="preserve">Frog Jump</t>
  </si>
  <si>
    <t xml:space="preserve">Cherry Pickup II</t>
  </si>
  <si>
    <t xml:space="preserve">Contest &amp; Mock Log</t>
  </si>
  <si>
    <t xml:space="preserve">Log every live contest, virtual contest, mock OA and mock interview. Times in minutes from start (leave blank if unsolved). Row 5 is an example, delete it.</t>
  </si>
  <si>
    <t xml:space="preserve">Date</t>
  </si>
  <si>
    <t xml:space="preserve">Type</t>
  </si>
  <si>
    <t xml:space="preserve">Contest / Mock name</t>
  </si>
  <si>
    <t xml:space="preserve">Q1 time (min)</t>
  </si>
  <si>
    <t xml:space="preserve">Q2 time (min)</t>
  </si>
  <si>
    <t xml:space="preserve">Q3 time (min)</t>
  </si>
  <si>
    <t xml:space="preserve">Q4 time (min)</t>
  </si>
  <si>
    <t xml:space="preserve">Qs solved</t>
  </si>
  <si>
    <t xml:space="preserve">Rank</t>
  </si>
  <si>
    <t xml:space="preserve">Rating after</t>
  </si>
  <si>
    <t xml:space="preserve">Upsolved all? (Y/N)</t>
  </si>
  <si>
    <t xml:space="preserve">Biggest mistake</t>
  </si>
  <si>
    <t xml:space="preserve">Topic to fix</t>
  </si>
  <si>
    <t xml:space="preserve">LC Weekly</t>
  </si>
  <si>
    <t xml:space="preserve">Weekly Contest (example)</t>
  </si>
  <si>
    <t xml:space="preserve">Y</t>
  </si>
  <si>
    <t xml:space="preserve">Missed edge case with empty input in Q2</t>
  </si>
  <si>
    <t xml:space="preserve">Sliding window II</t>
  </si>
  <si>
    <t xml:space="preserve">Progress Dashboard</t>
  </si>
  <si>
    <t xml:space="preserve">Total problems</t>
  </si>
  <si>
    <t xml:space="preserve">Updates automatically from the Problems sheet.</t>
  </si>
  <si>
    <t xml:space="preserve">Done (not Todo)</t>
  </si>
  <si>
    <t xml:space="preserve">Revisions due today or overdue</t>
  </si>
  <si>
    <t xml:space="preserve">% done overall</t>
  </si>
  <si>
    <t xml:space="preserve">Done</t>
  </si>
  <si>
    <t xml:space="preserve">% Done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</si>
</sst>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dd\-mmm\-yy"/>
    <numFmt numFmtId="167" formatCode="General"/>
    <numFmt numFmtId="168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2EFDA"/>
      <rgbColor rgb="FFCCFFFF"/>
      <rgbColor rgb="FF660066"/>
      <rgbColor rgb="FFFF8080"/>
      <rgbColor rgb="FF0563C1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leetcode.com/problems/contains-duplicate/" TargetMode="External"/><Relationship Id="rId3" Type="http://schemas.openxmlformats.org/officeDocument/2006/relationships/hyperlink" Target="https://leetcode.com/problems/valid-anagram/" TargetMode="External"/><Relationship Id="rId4" Type="http://schemas.openxmlformats.org/officeDocument/2006/relationships/hyperlink" Target="https://leetcode.com/problems/group-anagrams/" TargetMode="External"/><Relationship Id="rId5" Type="http://schemas.openxmlformats.org/officeDocument/2006/relationships/hyperlink" Target="https://leetcode.com/problems/top-k-frequent-elements/" TargetMode="External"/><Relationship Id="rId6" Type="http://schemas.openxmlformats.org/officeDocument/2006/relationships/hyperlink" Target="https://leetcode.com/problems/product-of-array-except-self/" TargetMode="External"/><Relationship Id="rId7" Type="http://schemas.openxmlformats.org/officeDocument/2006/relationships/hyperlink" Target="https://leetcode.com/problems/longest-consecutive-sequence/" TargetMode="External"/><Relationship Id="rId8" Type="http://schemas.openxmlformats.org/officeDocument/2006/relationships/hyperlink" Target="https://leetcode.com/problems/subarray-sum-equals-k/" TargetMode="External"/><Relationship Id="rId9" Type="http://schemas.openxmlformats.org/officeDocument/2006/relationships/hyperlink" Target="https://leetcode.com/problems/majority-element/" TargetMode="External"/><Relationship Id="rId10" Type="http://schemas.openxmlformats.org/officeDocument/2006/relationships/hyperlink" Target="https://leetcode.com/problems/sort-colors/" TargetMode="External"/><Relationship Id="rId11" Type="http://schemas.openxmlformats.org/officeDocument/2006/relationships/hyperlink" Target="https://leetcode.com/problems/next-permutation/" TargetMode="External"/><Relationship Id="rId12" Type="http://schemas.openxmlformats.org/officeDocument/2006/relationships/hyperlink" Target="https://leetcode.com/problems/valid-palindrome/" TargetMode="External"/><Relationship Id="rId13" Type="http://schemas.openxmlformats.org/officeDocument/2006/relationships/hyperlink" Target="https://leetcode.com/problems/two-sum-ii-input-array-is-sorted/" TargetMode="External"/><Relationship Id="rId14" Type="http://schemas.openxmlformats.org/officeDocument/2006/relationships/hyperlink" Target="https://leetcode.com/problems/3sum/" TargetMode="External"/><Relationship Id="rId15" Type="http://schemas.openxmlformats.org/officeDocument/2006/relationships/hyperlink" Target="https://leetcode.com/problems/container-with-most-water/" TargetMode="External"/><Relationship Id="rId16" Type="http://schemas.openxmlformats.org/officeDocument/2006/relationships/hyperlink" Target="https://leetcode.com/problems/trapping-rain-water/" TargetMode="External"/><Relationship Id="rId17" Type="http://schemas.openxmlformats.org/officeDocument/2006/relationships/hyperlink" Target="https://leetcode.com/problems/best-time-to-buy-and-sell-stock/" TargetMode="External"/><Relationship Id="rId18" Type="http://schemas.openxmlformats.org/officeDocument/2006/relationships/hyperlink" Target="https://leetcode.com/problems/longest-substring-without-repeating-characters/" TargetMode="External"/><Relationship Id="rId19" Type="http://schemas.openxmlformats.org/officeDocument/2006/relationships/hyperlink" Target="https://leetcode.com/problems/longest-repeating-character-replacement/" TargetMode="External"/><Relationship Id="rId20" Type="http://schemas.openxmlformats.org/officeDocument/2006/relationships/hyperlink" Target="https://leetcode.com/problems/permutation-in-string/" TargetMode="External"/><Relationship Id="rId21" Type="http://schemas.openxmlformats.org/officeDocument/2006/relationships/hyperlink" Target="https://leetcode.com/problems/minimum-window-substring/" TargetMode="External"/><Relationship Id="rId22" Type="http://schemas.openxmlformats.org/officeDocument/2006/relationships/hyperlink" Target="https://leetcode.com/problems/sliding-window-maximum/" TargetMode="External"/><Relationship Id="rId23" Type="http://schemas.openxmlformats.org/officeDocument/2006/relationships/hyperlink" Target="https://leetcode.com/problems/minimum-size-subarray-sum/" TargetMode="External"/><Relationship Id="rId24" Type="http://schemas.openxmlformats.org/officeDocument/2006/relationships/hyperlink" Target="https://leetcode.com/problems/max-consecutive-ones-iii/" TargetMode="External"/><Relationship Id="rId25" Type="http://schemas.openxmlformats.org/officeDocument/2006/relationships/hyperlink" Target="https://leetcode.com/problems/fruit-into-baskets/" TargetMode="External"/><Relationship Id="rId26" Type="http://schemas.openxmlformats.org/officeDocument/2006/relationships/hyperlink" Target="https://leetcode.com/problems/find-all-anagrams-in-a-string/" TargetMode="External"/><Relationship Id="rId27" Type="http://schemas.openxmlformats.org/officeDocument/2006/relationships/hyperlink" Target="https://leetcode.com/problems/maximum-subarray/" TargetMode="External"/><Relationship Id="rId28" Type="http://schemas.openxmlformats.org/officeDocument/2006/relationships/hyperlink" Target="https://leetcode.com/problems/range-sum-query-immutable/" TargetMode="External"/><Relationship Id="rId29" Type="http://schemas.openxmlformats.org/officeDocument/2006/relationships/hyperlink" Target="https://leetcode.com/problems/contiguous-array/" TargetMode="External"/><Relationship Id="rId30" Type="http://schemas.openxmlformats.org/officeDocument/2006/relationships/hyperlink" Target="https://leetcode.com/problems/continuous-subarray-sum/" TargetMode="External"/><Relationship Id="rId31" Type="http://schemas.openxmlformats.org/officeDocument/2006/relationships/hyperlink" Target="https://leetcode.com/problems/maximum-product-subarray/" TargetMode="External"/><Relationship Id="rId32" Type="http://schemas.openxmlformats.org/officeDocument/2006/relationships/hyperlink" Target="https://leetcode.com/problems/4sum/" TargetMode="External"/><Relationship Id="rId33" Type="http://schemas.openxmlformats.org/officeDocument/2006/relationships/hyperlink" Target="https://leetcode.com/problems/merge-intervals/" TargetMode="External"/><Relationship Id="rId34" Type="http://schemas.openxmlformats.org/officeDocument/2006/relationships/hyperlink" Target="https://leetcode.com/problems/insert-interval/" TargetMode="External"/><Relationship Id="rId35" Type="http://schemas.openxmlformats.org/officeDocument/2006/relationships/hyperlink" Target="https://leetcode.com/problems/non-overlapping-intervals/" TargetMode="External"/><Relationship Id="rId36" Type="http://schemas.openxmlformats.org/officeDocument/2006/relationships/hyperlink" Target="https://leetcode.com/problems/minimum-number-of-arrows-to-burst-balloons/" TargetMode="External"/><Relationship Id="rId37" Type="http://schemas.openxmlformats.org/officeDocument/2006/relationships/hyperlink" Target="https://leetcode.com/problems/set-matrix-zeroes/" TargetMode="External"/><Relationship Id="rId38" Type="http://schemas.openxmlformats.org/officeDocument/2006/relationships/hyperlink" Target="https://leetcode.com/problems/rotate-image/" TargetMode="External"/><Relationship Id="rId39" Type="http://schemas.openxmlformats.org/officeDocument/2006/relationships/hyperlink" Target="https://leetcode.com/problems/spiral-matrix/" TargetMode="External"/><Relationship Id="rId40" Type="http://schemas.openxmlformats.org/officeDocument/2006/relationships/hyperlink" Target="https://leetcode.com/problems/rotate-array/" TargetMode="External"/><Relationship Id="rId41" Type="http://schemas.openxmlformats.org/officeDocument/2006/relationships/hyperlink" Target="https://leetcode.com/problems/first-missing-positive/" TargetMode="External"/><Relationship Id="rId42" Type="http://schemas.openxmlformats.org/officeDocument/2006/relationships/hyperlink" Target="https://leetcode.com/problems/find-the-duplicate-number/" TargetMode="External"/><Relationship Id="rId43" Type="http://schemas.openxmlformats.org/officeDocument/2006/relationships/hyperlink" Target="https://leetcode.com/problems/valid-parentheses/" TargetMode="External"/><Relationship Id="rId44" Type="http://schemas.openxmlformats.org/officeDocument/2006/relationships/hyperlink" Target="https://leetcode.com/problems/min-stack/" TargetMode="External"/><Relationship Id="rId45" Type="http://schemas.openxmlformats.org/officeDocument/2006/relationships/hyperlink" Target="https://leetcode.com/problems/evaluate-reverse-polish-notation/" TargetMode="External"/><Relationship Id="rId46" Type="http://schemas.openxmlformats.org/officeDocument/2006/relationships/hyperlink" Target="https://leetcode.com/problems/daily-temperatures/" TargetMode="External"/><Relationship Id="rId47" Type="http://schemas.openxmlformats.org/officeDocument/2006/relationships/hyperlink" Target="https://leetcode.com/problems/next-greater-element-i/" TargetMode="External"/><Relationship Id="rId48" Type="http://schemas.openxmlformats.org/officeDocument/2006/relationships/hyperlink" Target="https://leetcode.com/problems/car-fleet/" TargetMode="External"/><Relationship Id="rId49" Type="http://schemas.openxmlformats.org/officeDocument/2006/relationships/hyperlink" Target="https://leetcode.com/problems/largest-rectangle-in-histogram/" TargetMode="External"/><Relationship Id="rId50" Type="http://schemas.openxmlformats.org/officeDocument/2006/relationships/hyperlink" Target="https://leetcode.com/problems/decode-string/" TargetMode="External"/><Relationship Id="rId51" Type="http://schemas.openxmlformats.org/officeDocument/2006/relationships/hyperlink" Target="https://leetcode.com/problems/asteroid-collision/" TargetMode="External"/><Relationship Id="rId52" Type="http://schemas.openxmlformats.org/officeDocument/2006/relationships/hyperlink" Target="https://leetcode.com/problems/online-stock-span/" TargetMode="External"/><Relationship Id="rId53" Type="http://schemas.openxmlformats.org/officeDocument/2006/relationships/hyperlink" Target="https://leetcode.com/problems/remove-k-digits/" TargetMode="External"/><Relationship Id="rId54" Type="http://schemas.openxmlformats.org/officeDocument/2006/relationships/hyperlink" Target="https://leetcode.com/problems/sum-of-subarray-minimums/" TargetMode="External"/><Relationship Id="rId55" Type="http://schemas.openxmlformats.org/officeDocument/2006/relationships/hyperlink" Target="https://leetcode.com/problems/basic-calculator-ii/" TargetMode="External"/><Relationship Id="rId56" Type="http://schemas.openxmlformats.org/officeDocument/2006/relationships/hyperlink" Target="https://leetcode.com/problems/binary-search/" TargetMode="External"/><Relationship Id="rId57" Type="http://schemas.openxmlformats.org/officeDocument/2006/relationships/hyperlink" Target="https://leetcode.com/problems/search-insert-position/" TargetMode="External"/><Relationship Id="rId58" Type="http://schemas.openxmlformats.org/officeDocument/2006/relationships/hyperlink" Target="https://leetcode.com/problems/search-a-2d-matrix/" TargetMode="External"/><Relationship Id="rId59" Type="http://schemas.openxmlformats.org/officeDocument/2006/relationships/hyperlink" Target="https://leetcode.com/problems/koko-eating-bananas/" TargetMode="External"/><Relationship Id="rId60" Type="http://schemas.openxmlformats.org/officeDocument/2006/relationships/hyperlink" Target="https://leetcode.com/problems/find-minimum-in-rotated-sorted-array/" TargetMode="External"/><Relationship Id="rId61" Type="http://schemas.openxmlformats.org/officeDocument/2006/relationships/hyperlink" Target="https://leetcode.com/problems/search-in-rotated-sorted-array/" TargetMode="External"/><Relationship Id="rId62" Type="http://schemas.openxmlformats.org/officeDocument/2006/relationships/hyperlink" Target="https://leetcode.com/problems/find-first-and-last-position-of-element-in-sorted-array/" TargetMode="External"/><Relationship Id="rId63" Type="http://schemas.openxmlformats.org/officeDocument/2006/relationships/hyperlink" Target="https://leetcode.com/problems/capacity-to-ship-packages-within-d-days/" TargetMode="External"/><Relationship Id="rId64" Type="http://schemas.openxmlformats.org/officeDocument/2006/relationships/hyperlink" Target="https://leetcode.com/problems/split-array-largest-sum/" TargetMode="External"/><Relationship Id="rId65" Type="http://schemas.openxmlformats.org/officeDocument/2006/relationships/hyperlink" Target="https://leetcode.com/problems/find-peak-element/" TargetMode="External"/><Relationship Id="rId66" Type="http://schemas.openxmlformats.org/officeDocument/2006/relationships/hyperlink" Target="https://leetcode.com/problems/single-element-in-a-sorted-array/" TargetMode="External"/><Relationship Id="rId67" Type="http://schemas.openxmlformats.org/officeDocument/2006/relationships/hyperlink" Target="https://leetcode.com/problems/median-of-two-sorted-arrays/" TargetMode="External"/><Relationship Id="rId68" Type="http://schemas.openxmlformats.org/officeDocument/2006/relationships/hyperlink" Target="https://leetcode.com/problems/time-based-key-value-store/" TargetMode="External"/><Relationship Id="rId69" Type="http://schemas.openxmlformats.org/officeDocument/2006/relationships/hyperlink" Target="https://leetcode.com/problems/magnetic-force-between-two-balls/" TargetMode="External"/><Relationship Id="rId70" Type="http://schemas.openxmlformats.org/officeDocument/2006/relationships/hyperlink" Target="https://leetcode.com/problems/minimum-number-of-days-to-make-m-bouquets/" TargetMode="External"/><Relationship Id="rId71" Type="http://schemas.openxmlformats.org/officeDocument/2006/relationships/hyperlink" Target="https://leetcode.com/problems/reverse-linked-list/" TargetMode="External"/><Relationship Id="rId72" Type="http://schemas.openxmlformats.org/officeDocument/2006/relationships/hyperlink" Target="https://leetcode.com/problems/merge-two-sorted-lists/" TargetMode="External"/><Relationship Id="rId73" Type="http://schemas.openxmlformats.org/officeDocument/2006/relationships/hyperlink" Target="https://leetcode.com/problems/linked-list-cycle/" TargetMode="External"/><Relationship Id="rId74" Type="http://schemas.openxmlformats.org/officeDocument/2006/relationships/hyperlink" Target="https://leetcode.com/problems/linked-list-cycle-ii/" TargetMode="External"/><Relationship Id="rId75" Type="http://schemas.openxmlformats.org/officeDocument/2006/relationships/hyperlink" Target="https://leetcode.com/problems/middle-of-the-linked-list/" TargetMode="External"/><Relationship Id="rId76" Type="http://schemas.openxmlformats.org/officeDocument/2006/relationships/hyperlink" Target="https://leetcode.com/problems/palindrome-linked-list/" TargetMode="External"/><Relationship Id="rId77" Type="http://schemas.openxmlformats.org/officeDocument/2006/relationships/hyperlink" Target="https://leetcode.com/problems/reorder-list/" TargetMode="External"/><Relationship Id="rId78" Type="http://schemas.openxmlformats.org/officeDocument/2006/relationships/hyperlink" Target="https://leetcode.com/problems/remove-nth-node-from-end-of-list/" TargetMode="External"/><Relationship Id="rId79" Type="http://schemas.openxmlformats.org/officeDocument/2006/relationships/hyperlink" Target="https://leetcode.com/problems/add-two-numbers/" TargetMode="External"/><Relationship Id="rId80" Type="http://schemas.openxmlformats.org/officeDocument/2006/relationships/hyperlink" Target="https://leetcode.com/problems/intersection-of-two-linked-lists/" TargetMode="External"/><Relationship Id="rId81" Type="http://schemas.openxmlformats.org/officeDocument/2006/relationships/hyperlink" Target="https://leetcode.com/problems/sort-list/" TargetMode="External"/><Relationship Id="rId82" Type="http://schemas.openxmlformats.org/officeDocument/2006/relationships/hyperlink" Target="https://leetcode.com/problems/copy-list-with-random-pointer/" TargetMode="External"/><Relationship Id="rId83" Type="http://schemas.openxmlformats.org/officeDocument/2006/relationships/hyperlink" Target="https://leetcode.com/problems/merge-k-sorted-lists/" TargetMode="External"/><Relationship Id="rId84" Type="http://schemas.openxmlformats.org/officeDocument/2006/relationships/hyperlink" Target="https://leetcode.com/problems/reverse-nodes-in-k-group/" TargetMode="External"/><Relationship Id="rId85" Type="http://schemas.openxmlformats.org/officeDocument/2006/relationships/hyperlink" Target="https://leetcode.com/problems/lru-cache/" TargetMode="External"/><Relationship Id="rId86" Type="http://schemas.openxmlformats.org/officeDocument/2006/relationships/hyperlink" Target="https://leetcode.com/problems/invert-binary-tree/" TargetMode="External"/><Relationship Id="rId87" Type="http://schemas.openxmlformats.org/officeDocument/2006/relationships/hyperlink" Target="https://leetcode.com/problems/maximum-depth-of-binary-tree/" TargetMode="External"/><Relationship Id="rId88" Type="http://schemas.openxmlformats.org/officeDocument/2006/relationships/hyperlink" Target="https://leetcode.com/problems/same-tree/" TargetMode="External"/><Relationship Id="rId89" Type="http://schemas.openxmlformats.org/officeDocument/2006/relationships/hyperlink" Target="https://leetcode.com/problems/subtree-of-another-tree/" TargetMode="External"/><Relationship Id="rId90" Type="http://schemas.openxmlformats.org/officeDocument/2006/relationships/hyperlink" Target="https://leetcode.com/problems/symmetric-tree/" TargetMode="External"/><Relationship Id="rId91" Type="http://schemas.openxmlformats.org/officeDocument/2006/relationships/hyperlink" Target="https://leetcode.com/problems/diameter-of-binary-tree/" TargetMode="External"/><Relationship Id="rId92" Type="http://schemas.openxmlformats.org/officeDocument/2006/relationships/hyperlink" Target="https://leetcode.com/problems/balanced-binary-tree/" TargetMode="External"/><Relationship Id="rId93" Type="http://schemas.openxmlformats.org/officeDocument/2006/relationships/hyperlink" Target="https://leetcode.com/problems/binary-tree-inorder-traversal/" TargetMode="External"/><Relationship Id="rId94" Type="http://schemas.openxmlformats.org/officeDocument/2006/relationships/hyperlink" Target="https://leetcode.com/problems/binary-tree-preorder-traversal/" TargetMode="External"/><Relationship Id="rId95" Type="http://schemas.openxmlformats.org/officeDocument/2006/relationships/hyperlink" Target="https://leetcode.com/problems/binary-tree-postorder-traversal/" TargetMode="External"/><Relationship Id="rId96" Type="http://schemas.openxmlformats.org/officeDocument/2006/relationships/hyperlink" Target="https://leetcode.com/problems/path-sum/" TargetMode="External"/><Relationship Id="rId97" Type="http://schemas.openxmlformats.org/officeDocument/2006/relationships/hyperlink" Target="https://leetcode.com/problems/path-sum-ii/" TargetMode="External"/><Relationship Id="rId98" Type="http://schemas.openxmlformats.org/officeDocument/2006/relationships/hyperlink" Target="https://leetcode.com/problems/path-sum-iii/" TargetMode="External"/><Relationship Id="rId99" Type="http://schemas.openxmlformats.org/officeDocument/2006/relationships/hyperlink" Target="https://leetcode.com/problems/sum-root-to-leaf-numbers/" TargetMode="External"/><Relationship Id="rId100" Type="http://schemas.openxmlformats.org/officeDocument/2006/relationships/hyperlink" Target="https://leetcode.com/problems/count-good-nodes-in-binary-tree/" TargetMode="External"/><Relationship Id="rId101" Type="http://schemas.openxmlformats.org/officeDocument/2006/relationships/hyperlink" Target="https://leetcode.com/problems/binary-tree-level-order-traversal/" TargetMode="External"/><Relationship Id="rId102" Type="http://schemas.openxmlformats.org/officeDocument/2006/relationships/hyperlink" Target="https://leetcode.com/problems/binary-tree-right-side-view/" TargetMode="External"/><Relationship Id="rId103" Type="http://schemas.openxmlformats.org/officeDocument/2006/relationships/hyperlink" Target="https://leetcode.com/problems/binary-tree-zigzag-level-order-traversal/" TargetMode="External"/><Relationship Id="rId104" Type="http://schemas.openxmlformats.org/officeDocument/2006/relationships/hyperlink" Target="https://leetcode.com/problems/lowest-common-ancestor-of-a-binary-tree/" TargetMode="External"/><Relationship Id="rId105" Type="http://schemas.openxmlformats.org/officeDocument/2006/relationships/hyperlink" Target="https://leetcode.com/problems/construct-binary-tree-from-preorder-and-inorder-traversal/" TargetMode="External"/><Relationship Id="rId106" Type="http://schemas.openxmlformats.org/officeDocument/2006/relationships/hyperlink" Target="https://leetcode.com/problems/flatten-binary-tree-to-linked-list/" TargetMode="External"/><Relationship Id="rId107" Type="http://schemas.openxmlformats.org/officeDocument/2006/relationships/hyperlink" Target="https://leetcode.com/problems/all-nodes-distance-k-in-binary-tree/" TargetMode="External"/><Relationship Id="rId108" Type="http://schemas.openxmlformats.org/officeDocument/2006/relationships/hyperlink" Target="https://leetcode.com/problems/maximum-width-of-binary-tree/" TargetMode="External"/><Relationship Id="rId109" Type="http://schemas.openxmlformats.org/officeDocument/2006/relationships/hyperlink" Target="https://leetcode.com/problems/serialize-and-deserialize-binary-tree/" TargetMode="External"/><Relationship Id="rId110" Type="http://schemas.openxmlformats.org/officeDocument/2006/relationships/hyperlink" Target="https://leetcode.com/problems/binary-tree-maximum-path-sum/" TargetMode="External"/><Relationship Id="rId111" Type="http://schemas.openxmlformats.org/officeDocument/2006/relationships/hyperlink" Target="https://leetcode.com/problems/house-robber-iii/" TargetMode="External"/><Relationship Id="rId112" Type="http://schemas.openxmlformats.org/officeDocument/2006/relationships/hyperlink" Target="https://leetcode.com/problems/vertical-order-traversal-of-a-binary-tree/" TargetMode="External"/><Relationship Id="rId113" Type="http://schemas.openxmlformats.org/officeDocument/2006/relationships/hyperlink" Target="https://leetcode.com/problems/validate-binary-search-tree/" TargetMode="External"/><Relationship Id="rId114" Type="http://schemas.openxmlformats.org/officeDocument/2006/relationships/hyperlink" Target="https://leetcode.com/problems/kth-smallest-element-in-a-bst/" TargetMode="External"/><Relationship Id="rId115" Type="http://schemas.openxmlformats.org/officeDocument/2006/relationships/hyperlink" Target="https://leetcode.com/problems/lowest-common-ancestor-of-a-binary-search-tree/" TargetMode="External"/><Relationship Id="rId116" Type="http://schemas.openxmlformats.org/officeDocument/2006/relationships/hyperlink" Target="https://leetcode.com/problems/convert-sorted-array-to-binary-search-tree/" TargetMode="External"/><Relationship Id="rId117" Type="http://schemas.openxmlformats.org/officeDocument/2006/relationships/hyperlink" Target="https://leetcode.com/problems/delete-node-in-a-bst/" TargetMode="External"/><Relationship Id="rId118" Type="http://schemas.openxmlformats.org/officeDocument/2006/relationships/hyperlink" Target="https://leetcode.com/problems/recover-binary-search-tree/" TargetMode="External"/><Relationship Id="rId119" Type="http://schemas.openxmlformats.org/officeDocument/2006/relationships/hyperlink" Target="https://leetcode.com/problems/implement-trie-prefix-tree/" TargetMode="External"/><Relationship Id="rId120" Type="http://schemas.openxmlformats.org/officeDocument/2006/relationships/hyperlink" Target="https://leetcode.com/problems/design-add-and-search-words-data-structure/" TargetMode="External"/><Relationship Id="rId121" Type="http://schemas.openxmlformats.org/officeDocument/2006/relationships/hyperlink" Target="https://leetcode.com/problems/word-search-ii/" TargetMode="External"/><Relationship Id="rId122" Type="http://schemas.openxmlformats.org/officeDocument/2006/relationships/hyperlink" Target="https://leetcode.com/problems/replace-words/" TargetMode="External"/><Relationship Id="rId123" Type="http://schemas.openxmlformats.org/officeDocument/2006/relationships/hyperlink" Target="https://leetcode.com/problems/search-suggestions-system/" TargetMode="External"/><Relationship Id="rId124" Type="http://schemas.openxmlformats.org/officeDocument/2006/relationships/hyperlink" Target="https://leetcode.com/problems/maximum-xor-of-two-numbers-in-an-array/" TargetMode="External"/><Relationship Id="rId125" Type="http://schemas.openxmlformats.org/officeDocument/2006/relationships/hyperlink" Target="https://leetcode.com/problems/kth-largest-element-in-an-array/" TargetMode="External"/><Relationship Id="rId126" Type="http://schemas.openxmlformats.org/officeDocument/2006/relationships/hyperlink" Target="https://leetcode.com/problems/last-stone-weight/" TargetMode="External"/><Relationship Id="rId127" Type="http://schemas.openxmlformats.org/officeDocument/2006/relationships/hyperlink" Target="https://leetcode.com/problems/k-closest-points-to-origin/" TargetMode="External"/><Relationship Id="rId128" Type="http://schemas.openxmlformats.org/officeDocument/2006/relationships/hyperlink" Target="https://leetcode.com/problems/task-scheduler/" TargetMode="External"/><Relationship Id="rId129" Type="http://schemas.openxmlformats.org/officeDocument/2006/relationships/hyperlink" Target="https://leetcode.com/problems/find-median-from-data-stream/" TargetMode="External"/><Relationship Id="rId130" Type="http://schemas.openxmlformats.org/officeDocument/2006/relationships/hyperlink" Target="https://leetcode.com/problems/reorganize-string/" TargetMode="External"/><Relationship Id="rId131" Type="http://schemas.openxmlformats.org/officeDocument/2006/relationships/hyperlink" Target="https://leetcode.com/problems/top-k-frequent-words/" TargetMode="External"/><Relationship Id="rId132" Type="http://schemas.openxmlformats.org/officeDocument/2006/relationships/hyperlink" Target="https://leetcode.com/problems/kth-largest-element-in-a-stream/" TargetMode="External"/><Relationship Id="rId133" Type="http://schemas.openxmlformats.org/officeDocument/2006/relationships/hyperlink" Target="https://leetcode.com/problems/design-twitter/" TargetMode="External"/><Relationship Id="rId134" Type="http://schemas.openxmlformats.org/officeDocument/2006/relationships/hyperlink" Target="https://leetcode.com/problems/find-k-pairs-with-smallest-sums/" TargetMode="External"/><Relationship Id="rId135" Type="http://schemas.openxmlformats.org/officeDocument/2006/relationships/hyperlink" Target="https://leetcode.com/problems/ipo/" TargetMode="External"/><Relationship Id="rId136" Type="http://schemas.openxmlformats.org/officeDocument/2006/relationships/hyperlink" Target="https://leetcode.com/problems/sliding-window-median/" TargetMode="External"/><Relationship Id="rId137" Type="http://schemas.openxmlformats.org/officeDocument/2006/relationships/hyperlink" Target="https://leetcode.com/problems/smallest-range-covering-elements-from-k-lists/" TargetMode="External"/><Relationship Id="rId138" Type="http://schemas.openxmlformats.org/officeDocument/2006/relationships/hyperlink" Target="https://leetcode.com/problems/subsets/" TargetMode="External"/><Relationship Id="rId139" Type="http://schemas.openxmlformats.org/officeDocument/2006/relationships/hyperlink" Target="https://leetcode.com/problems/subsets-ii/" TargetMode="External"/><Relationship Id="rId140" Type="http://schemas.openxmlformats.org/officeDocument/2006/relationships/hyperlink" Target="https://leetcode.com/problems/permutations/" TargetMode="External"/><Relationship Id="rId141" Type="http://schemas.openxmlformats.org/officeDocument/2006/relationships/hyperlink" Target="https://leetcode.com/problems/permutations-ii/" TargetMode="External"/><Relationship Id="rId142" Type="http://schemas.openxmlformats.org/officeDocument/2006/relationships/hyperlink" Target="https://leetcode.com/problems/combination-sum/" TargetMode="External"/><Relationship Id="rId143" Type="http://schemas.openxmlformats.org/officeDocument/2006/relationships/hyperlink" Target="https://leetcode.com/problems/combination-sum-ii/" TargetMode="External"/><Relationship Id="rId144" Type="http://schemas.openxmlformats.org/officeDocument/2006/relationships/hyperlink" Target="https://leetcode.com/problems/combinations/" TargetMode="External"/><Relationship Id="rId145" Type="http://schemas.openxmlformats.org/officeDocument/2006/relationships/hyperlink" Target="https://leetcode.com/problems/letter-combinations-of-a-phone-number/" TargetMode="External"/><Relationship Id="rId146" Type="http://schemas.openxmlformats.org/officeDocument/2006/relationships/hyperlink" Target="https://leetcode.com/problems/generate-parentheses/" TargetMode="External"/><Relationship Id="rId147" Type="http://schemas.openxmlformats.org/officeDocument/2006/relationships/hyperlink" Target="https://leetcode.com/problems/palindrome-partitioning/" TargetMode="External"/><Relationship Id="rId148" Type="http://schemas.openxmlformats.org/officeDocument/2006/relationships/hyperlink" Target="https://leetcode.com/problems/word-search/" TargetMode="External"/><Relationship Id="rId149" Type="http://schemas.openxmlformats.org/officeDocument/2006/relationships/hyperlink" Target="https://leetcode.com/problems/restore-ip-addresses/" TargetMode="External"/><Relationship Id="rId150" Type="http://schemas.openxmlformats.org/officeDocument/2006/relationships/hyperlink" Target="https://leetcode.com/problems/n-queens/" TargetMode="External"/><Relationship Id="rId151" Type="http://schemas.openxmlformats.org/officeDocument/2006/relationships/hyperlink" Target="https://leetcode.com/problems/sudoku-solver/" TargetMode="External"/><Relationship Id="rId152" Type="http://schemas.openxmlformats.org/officeDocument/2006/relationships/hyperlink" Target="https://leetcode.com/problems/partition-to-k-equal-sum-subsets/" TargetMode="External"/><Relationship Id="rId153" Type="http://schemas.openxmlformats.org/officeDocument/2006/relationships/hyperlink" Target="https://leetcode.com/problems/matchsticks-to-square/" TargetMode="External"/><Relationship Id="rId154" Type="http://schemas.openxmlformats.org/officeDocument/2006/relationships/hyperlink" Target="https://leetcode.com/problems/combination-sum-iii/" TargetMode="External"/><Relationship Id="rId155" Type="http://schemas.openxmlformats.org/officeDocument/2006/relationships/hyperlink" Target="https://leetcode.com/problems/expression-add-operators/" TargetMode="External"/><Relationship Id="rId156" Type="http://schemas.openxmlformats.org/officeDocument/2006/relationships/hyperlink" Target="https://leetcode.com/problems/beautiful-arrangement/" TargetMode="External"/><Relationship Id="rId157" Type="http://schemas.openxmlformats.org/officeDocument/2006/relationships/hyperlink" Target="https://leetcode.com/problems/gray-code/" TargetMode="External"/><Relationship Id="rId158" Type="http://schemas.openxmlformats.org/officeDocument/2006/relationships/hyperlink" Target="https://leetcode.com/problems/unique-paths-iii/" TargetMode="External"/><Relationship Id="rId159" Type="http://schemas.openxmlformats.org/officeDocument/2006/relationships/hyperlink" Target="https://leetcode.com/problems/number-of-islands/" TargetMode="External"/><Relationship Id="rId160" Type="http://schemas.openxmlformats.org/officeDocument/2006/relationships/hyperlink" Target="https://leetcode.com/problems/max-area-of-island/" TargetMode="External"/><Relationship Id="rId161" Type="http://schemas.openxmlformats.org/officeDocument/2006/relationships/hyperlink" Target="https://leetcode.com/problems/clone-graph/" TargetMode="External"/><Relationship Id="rId162" Type="http://schemas.openxmlformats.org/officeDocument/2006/relationships/hyperlink" Target="https://leetcode.com/problems/pacific-atlantic-water-flow/" TargetMode="External"/><Relationship Id="rId163" Type="http://schemas.openxmlformats.org/officeDocument/2006/relationships/hyperlink" Target="https://leetcode.com/problems/surrounded-regions/" TargetMode="External"/><Relationship Id="rId164" Type="http://schemas.openxmlformats.org/officeDocument/2006/relationships/hyperlink" Target="https://leetcode.com/problems/rotting-oranges/" TargetMode="External"/><Relationship Id="rId165" Type="http://schemas.openxmlformats.org/officeDocument/2006/relationships/hyperlink" Target="https://leetcode.com/problems/01-matrix/" TargetMode="External"/><Relationship Id="rId166" Type="http://schemas.openxmlformats.org/officeDocument/2006/relationships/hyperlink" Target="https://leetcode.com/problems/number-of-enclaves/" TargetMode="External"/><Relationship Id="rId167" Type="http://schemas.openxmlformats.org/officeDocument/2006/relationships/hyperlink" Target="https://leetcode.com/problems/shortest-path-in-binary-matrix/" TargetMode="External"/><Relationship Id="rId168" Type="http://schemas.openxmlformats.org/officeDocument/2006/relationships/hyperlink" Target="https://leetcode.com/problems/open-the-lock/" TargetMode="External"/><Relationship Id="rId169" Type="http://schemas.openxmlformats.org/officeDocument/2006/relationships/hyperlink" Target="https://leetcode.com/problems/word-ladder/" TargetMode="External"/><Relationship Id="rId170" Type="http://schemas.openxmlformats.org/officeDocument/2006/relationships/hyperlink" Target="https://leetcode.com/problems/shortest-bridge/" TargetMode="External"/><Relationship Id="rId171" Type="http://schemas.openxmlformats.org/officeDocument/2006/relationships/hyperlink" Target="https://leetcode.com/problems/number-of-provinces/" TargetMode="External"/><Relationship Id="rId172" Type="http://schemas.openxmlformats.org/officeDocument/2006/relationships/hyperlink" Target="https://leetcode.com/problems/is-graph-bipartite/" TargetMode="External"/><Relationship Id="rId173" Type="http://schemas.openxmlformats.org/officeDocument/2006/relationships/hyperlink" Target="https://leetcode.com/problems/course-schedule/" TargetMode="External"/><Relationship Id="rId174" Type="http://schemas.openxmlformats.org/officeDocument/2006/relationships/hyperlink" Target="https://leetcode.com/problems/course-schedule-ii/" TargetMode="External"/><Relationship Id="rId175" Type="http://schemas.openxmlformats.org/officeDocument/2006/relationships/hyperlink" Target="https://leetcode.com/problems/find-eventual-safe-states/" TargetMode="External"/><Relationship Id="rId176" Type="http://schemas.openxmlformats.org/officeDocument/2006/relationships/hyperlink" Target="https://leetcode.com/problems/parallel-courses-iii/" TargetMode="External"/><Relationship Id="rId177" Type="http://schemas.openxmlformats.org/officeDocument/2006/relationships/hyperlink" Target="https://leetcode.com/problems/minimum-height-trees/" TargetMode="External"/><Relationship Id="rId178" Type="http://schemas.openxmlformats.org/officeDocument/2006/relationships/hyperlink" Target="https://leetcode.com/problems/redundant-connection/" TargetMode="External"/><Relationship Id="rId179" Type="http://schemas.openxmlformats.org/officeDocument/2006/relationships/hyperlink" Target="https://leetcode.com/problems/accounts-merge/" TargetMode="External"/><Relationship Id="rId180" Type="http://schemas.openxmlformats.org/officeDocument/2006/relationships/hyperlink" Target="https://leetcode.com/problems/most-stones-removed-with-same-row-or-column/" TargetMode="External"/><Relationship Id="rId181" Type="http://schemas.openxmlformats.org/officeDocument/2006/relationships/hyperlink" Target="https://leetcode.com/problems/satisfiability-of-equality-equations/" TargetMode="External"/><Relationship Id="rId182" Type="http://schemas.openxmlformats.org/officeDocument/2006/relationships/hyperlink" Target="https://leetcode.com/problems/evaluate-division/" TargetMode="External"/><Relationship Id="rId183" Type="http://schemas.openxmlformats.org/officeDocument/2006/relationships/hyperlink" Target="https://leetcode.com/problems/find-all-possible-recipes-from-given-supplies/" TargetMode="External"/><Relationship Id="rId184" Type="http://schemas.openxmlformats.org/officeDocument/2006/relationships/hyperlink" Target="https://leetcode.com/problems/possible-bipartition/" TargetMode="External"/><Relationship Id="rId185" Type="http://schemas.openxmlformats.org/officeDocument/2006/relationships/hyperlink" Target="https://leetcode.com/problems/network-delay-time/" TargetMode="External"/><Relationship Id="rId186" Type="http://schemas.openxmlformats.org/officeDocument/2006/relationships/hyperlink" Target="https://leetcode.com/problems/cheapest-flights-within-k-stops/" TargetMode="External"/><Relationship Id="rId187" Type="http://schemas.openxmlformats.org/officeDocument/2006/relationships/hyperlink" Target="https://leetcode.com/problems/path-with-minimum-effort/" TargetMode="External"/><Relationship Id="rId188" Type="http://schemas.openxmlformats.org/officeDocument/2006/relationships/hyperlink" Target="https://leetcode.com/problems/swim-in-rising-water/" TargetMode="External"/><Relationship Id="rId189" Type="http://schemas.openxmlformats.org/officeDocument/2006/relationships/hyperlink" Target="https://leetcode.com/problems/min-cost-to-connect-all-points/" TargetMode="External"/><Relationship Id="rId190" Type="http://schemas.openxmlformats.org/officeDocument/2006/relationships/hyperlink" Target="https://leetcode.com/problems/path-with-maximum-probability/" TargetMode="External"/><Relationship Id="rId191" Type="http://schemas.openxmlformats.org/officeDocument/2006/relationships/hyperlink" Target="https://leetcode.com/problems/find-the-city-with-the-smallest-number-of-neighbors-at-a-threshold-distance/" TargetMode="External"/><Relationship Id="rId192" Type="http://schemas.openxmlformats.org/officeDocument/2006/relationships/hyperlink" Target="https://leetcode.com/problems/reconstruct-itinerary/" TargetMode="External"/><Relationship Id="rId193" Type="http://schemas.openxmlformats.org/officeDocument/2006/relationships/hyperlink" Target="https://leetcode.com/problems/critical-connections-in-a-network/" TargetMode="External"/><Relationship Id="rId194" Type="http://schemas.openxmlformats.org/officeDocument/2006/relationships/hyperlink" Target="https://leetcode.com/problems/bus-routes/" TargetMode="External"/><Relationship Id="rId195" Type="http://schemas.openxmlformats.org/officeDocument/2006/relationships/hyperlink" Target="https://leetcode.com/problems/snakes-and-ladders/" TargetMode="External"/><Relationship Id="rId196" Type="http://schemas.openxmlformats.org/officeDocument/2006/relationships/hyperlink" Target="https://leetcode.com/problems/making-a-large-island/" TargetMode="External"/><Relationship Id="rId197" Type="http://schemas.openxmlformats.org/officeDocument/2006/relationships/hyperlink" Target="https://leetcode.com/problems/jump-game/" TargetMode="External"/><Relationship Id="rId198" Type="http://schemas.openxmlformats.org/officeDocument/2006/relationships/hyperlink" Target="https://leetcode.com/problems/jump-game-ii/" TargetMode="External"/><Relationship Id="rId199" Type="http://schemas.openxmlformats.org/officeDocument/2006/relationships/hyperlink" Target="https://leetcode.com/problems/gas-station/" TargetMode="External"/><Relationship Id="rId200" Type="http://schemas.openxmlformats.org/officeDocument/2006/relationships/hyperlink" Target="https://leetcode.com/problems/hand-of-straights/" TargetMode="External"/><Relationship Id="rId201" Type="http://schemas.openxmlformats.org/officeDocument/2006/relationships/hyperlink" Target="https://leetcode.com/problems/partition-labels/" TargetMode="External"/><Relationship Id="rId202" Type="http://schemas.openxmlformats.org/officeDocument/2006/relationships/hyperlink" Target="https://leetcode.com/problems/valid-parenthesis-string/" TargetMode="External"/><Relationship Id="rId203" Type="http://schemas.openxmlformats.org/officeDocument/2006/relationships/hyperlink" Target="https://leetcode.com/problems/candy/" TargetMode="External"/><Relationship Id="rId204" Type="http://schemas.openxmlformats.org/officeDocument/2006/relationships/hyperlink" Target="https://leetcode.com/problems/assign-cookies/" TargetMode="External"/><Relationship Id="rId205" Type="http://schemas.openxmlformats.org/officeDocument/2006/relationships/hyperlink" Target="https://leetcode.com/problems/boats-to-save-people/" TargetMode="External"/><Relationship Id="rId206" Type="http://schemas.openxmlformats.org/officeDocument/2006/relationships/hyperlink" Target="https://leetcode.com/problems/queue-reconstruction-by-height/" TargetMode="External"/><Relationship Id="rId207" Type="http://schemas.openxmlformats.org/officeDocument/2006/relationships/hyperlink" Target="https://leetcode.com/problems/lemonade-change/" TargetMode="External"/><Relationship Id="rId208" Type="http://schemas.openxmlformats.org/officeDocument/2006/relationships/hyperlink" Target="https://leetcode.com/problems/merge-triplets-to-form-target-triplet/" TargetMode="External"/><Relationship Id="rId209" Type="http://schemas.openxmlformats.org/officeDocument/2006/relationships/hyperlink" Target="https://leetcode.com/problems/car-pooling/" TargetMode="External"/><Relationship Id="rId210" Type="http://schemas.openxmlformats.org/officeDocument/2006/relationships/hyperlink" Target="https://leetcode.com/problems/climbing-stairs/" TargetMode="External"/><Relationship Id="rId211" Type="http://schemas.openxmlformats.org/officeDocument/2006/relationships/hyperlink" Target="https://leetcode.com/problems/min-cost-climbing-stairs/" TargetMode="External"/><Relationship Id="rId212" Type="http://schemas.openxmlformats.org/officeDocument/2006/relationships/hyperlink" Target="https://leetcode.com/problems/house-robber/" TargetMode="External"/><Relationship Id="rId213" Type="http://schemas.openxmlformats.org/officeDocument/2006/relationships/hyperlink" Target="https://leetcode.com/problems/house-robber-ii/" TargetMode="External"/><Relationship Id="rId214" Type="http://schemas.openxmlformats.org/officeDocument/2006/relationships/hyperlink" Target="https://leetcode.com/problems/decode-ways/" TargetMode="External"/><Relationship Id="rId215" Type="http://schemas.openxmlformats.org/officeDocument/2006/relationships/hyperlink" Target="https://leetcode.com/problems/coin-change/" TargetMode="External"/><Relationship Id="rId216" Type="http://schemas.openxmlformats.org/officeDocument/2006/relationships/hyperlink" Target="https://leetcode.com/problems/word-break/" TargetMode="External"/><Relationship Id="rId217" Type="http://schemas.openxmlformats.org/officeDocument/2006/relationships/hyperlink" Target="https://leetcode.com/problems/perfect-squares/" TargetMode="External"/><Relationship Id="rId218" Type="http://schemas.openxmlformats.org/officeDocument/2006/relationships/hyperlink" Target="https://leetcode.com/problems/integer-break/" TargetMode="External"/><Relationship Id="rId219" Type="http://schemas.openxmlformats.org/officeDocument/2006/relationships/hyperlink" Target="https://leetcode.com/problems/delete-and-earn/" TargetMode="External"/><Relationship Id="rId220" Type="http://schemas.openxmlformats.org/officeDocument/2006/relationships/hyperlink" Target="https://leetcode.com/problems/maximum-sum-circular-subarray/" TargetMode="External"/><Relationship Id="rId221" Type="http://schemas.openxmlformats.org/officeDocument/2006/relationships/hyperlink" Target="https://leetcode.com/problems/combination-sum-iv/" TargetMode="External"/><Relationship Id="rId222" Type="http://schemas.openxmlformats.org/officeDocument/2006/relationships/hyperlink" Target="https://leetcode.com/problems/longest-increasing-subsequence/" TargetMode="External"/><Relationship Id="rId223" Type="http://schemas.openxmlformats.org/officeDocument/2006/relationships/hyperlink" Target="https://leetcode.com/problems/number-of-longest-increasing-subsequence/" TargetMode="External"/><Relationship Id="rId224" Type="http://schemas.openxmlformats.org/officeDocument/2006/relationships/hyperlink" Target="https://leetcode.com/problems/russian-doll-envelopes/" TargetMode="External"/><Relationship Id="rId225" Type="http://schemas.openxmlformats.org/officeDocument/2006/relationships/hyperlink" Target="https://leetcode.com/problems/partition-equal-subset-sum/" TargetMode="External"/><Relationship Id="rId226" Type="http://schemas.openxmlformats.org/officeDocument/2006/relationships/hyperlink" Target="https://leetcode.com/problems/target-sum/" TargetMode="External"/><Relationship Id="rId227" Type="http://schemas.openxmlformats.org/officeDocument/2006/relationships/hyperlink" Target="https://leetcode.com/problems/last-stone-weight-ii/" TargetMode="External"/><Relationship Id="rId228" Type="http://schemas.openxmlformats.org/officeDocument/2006/relationships/hyperlink" Target="https://leetcode.com/problems/ones-and-zeroes/" TargetMode="External"/><Relationship Id="rId229" Type="http://schemas.openxmlformats.org/officeDocument/2006/relationships/hyperlink" Target="https://leetcode.com/problems/coin-change-ii/" TargetMode="External"/><Relationship Id="rId230" Type="http://schemas.openxmlformats.org/officeDocument/2006/relationships/hyperlink" Target="https://leetcode.com/problems/longest-palindromic-substring/" TargetMode="External"/><Relationship Id="rId231" Type="http://schemas.openxmlformats.org/officeDocument/2006/relationships/hyperlink" Target="https://leetcode.com/problems/palindromic-substrings/" TargetMode="External"/><Relationship Id="rId232" Type="http://schemas.openxmlformats.org/officeDocument/2006/relationships/hyperlink" Target="https://leetcode.com/problems/longest-palindromic-subsequence/" TargetMode="External"/><Relationship Id="rId233" Type="http://schemas.openxmlformats.org/officeDocument/2006/relationships/hyperlink" Target="https://leetcode.com/problems/unique-paths/" TargetMode="External"/><Relationship Id="rId234" Type="http://schemas.openxmlformats.org/officeDocument/2006/relationships/hyperlink" Target="https://leetcode.com/problems/unique-paths-ii/" TargetMode="External"/><Relationship Id="rId235" Type="http://schemas.openxmlformats.org/officeDocument/2006/relationships/hyperlink" Target="https://leetcode.com/problems/minimum-path-sum/" TargetMode="External"/><Relationship Id="rId236" Type="http://schemas.openxmlformats.org/officeDocument/2006/relationships/hyperlink" Target="https://leetcode.com/problems/triangle/" TargetMode="External"/><Relationship Id="rId237" Type="http://schemas.openxmlformats.org/officeDocument/2006/relationships/hyperlink" Target="https://leetcode.com/problems/minimum-falling-path-sum/" TargetMode="External"/><Relationship Id="rId238" Type="http://schemas.openxmlformats.org/officeDocument/2006/relationships/hyperlink" Target="https://leetcode.com/problems/maximal-square/" TargetMode="External"/><Relationship Id="rId239" Type="http://schemas.openxmlformats.org/officeDocument/2006/relationships/hyperlink" Target="https://leetcode.com/problems/count-square-submatrices-with-all-ones/" TargetMode="External"/><Relationship Id="rId240" Type="http://schemas.openxmlformats.org/officeDocument/2006/relationships/hyperlink" Target="https://leetcode.com/problems/cherry-pickup/" TargetMode="External"/><Relationship Id="rId241" Type="http://schemas.openxmlformats.org/officeDocument/2006/relationships/hyperlink" Target="https://leetcode.com/problems/dungeon-game/" TargetMode="External"/><Relationship Id="rId242" Type="http://schemas.openxmlformats.org/officeDocument/2006/relationships/hyperlink" Target="https://leetcode.com/problems/longest-increasing-path-in-a-matrix/" TargetMode="External"/><Relationship Id="rId243" Type="http://schemas.openxmlformats.org/officeDocument/2006/relationships/hyperlink" Target="https://leetcode.com/problems/longest-common-subsequence/" TargetMode="External"/><Relationship Id="rId244" Type="http://schemas.openxmlformats.org/officeDocument/2006/relationships/hyperlink" Target="https://leetcode.com/problems/edit-distance/" TargetMode="External"/><Relationship Id="rId245" Type="http://schemas.openxmlformats.org/officeDocument/2006/relationships/hyperlink" Target="https://leetcode.com/problems/distinct-subsequences/" TargetMode="External"/><Relationship Id="rId246" Type="http://schemas.openxmlformats.org/officeDocument/2006/relationships/hyperlink" Target="https://leetcode.com/problems/interleaving-string/" TargetMode="External"/><Relationship Id="rId247" Type="http://schemas.openxmlformats.org/officeDocument/2006/relationships/hyperlink" Target="https://leetcode.com/problems/uncrossed-lines/" TargetMode="External"/><Relationship Id="rId248" Type="http://schemas.openxmlformats.org/officeDocument/2006/relationships/hyperlink" Target="https://leetcode.com/problems/minimum-ascii-delete-sum-for-two-strings/" TargetMode="External"/><Relationship Id="rId249" Type="http://schemas.openxmlformats.org/officeDocument/2006/relationships/hyperlink" Target="https://leetcode.com/problems/shortest-common-supersequence/" TargetMode="External"/><Relationship Id="rId250" Type="http://schemas.openxmlformats.org/officeDocument/2006/relationships/hyperlink" Target="https://leetcode.com/problems/minimum-insertion-steps-to-make-a-string-palindrome/" TargetMode="External"/><Relationship Id="rId251" Type="http://schemas.openxmlformats.org/officeDocument/2006/relationships/hyperlink" Target="https://leetcode.com/problems/palindrome-partitioning-ii/" TargetMode="External"/><Relationship Id="rId252" Type="http://schemas.openxmlformats.org/officeDocument/2006/relationships/hyperlink" Target="https://leetcode.com/problems/regular-expression-matching/" TargetMode="External"/><Relationship Id="rId253" Type="http://schemas.openxmlformats.org/officeDocument/2006/relationships/hyperlink" Target="https://leetcode.com/problems/wildcard-matching/" TargetMode="External"/><Relationship Id="rId254" Type="http://schemas.openxmlformats.org/officeDocument/2006/relationships/hyperlink" Target="https://leetcode.com/problems/best-time-to-buy-and-sell-stock-with-cooldown/" TargetMode="External"/><Relationship Id="rId255" Type="http://schemas.openxmlformats.org/officeDocument/2006/relationships/hyperlink" Target="https://leetcode.com/problems/best-time-to-buy-and-sell-stock-ii/" TargetMode="External"/><Relationship Id="rId256" Type="http://schemas.openxmlformats.org/officeDocument/2006/relationships/hyperlink" Target="https://leetcode.com/problems/best-time-to-buy-and-sell-stock-iii/" TargetMode="External"/><Relationship Id="rId257" Type="http://schemas.openxmlformats.org/officeDocument/2006/relationships/hyperlink" Target="https://leetcode.com/problems/best-time-to-buy-and-sell-stock-iv/" TargetMode="External"/><Relationship Id="rId258" Type="http://schemas.openxmlformats.org/officeDocument/2006/relationships/hyperlink" Target="https://leetcode.com/problems/best-time-to-buy-and-sell-stock-with-transaction-fee/" TargetMode="External"/><Relationship Id="rId259" Type="http://schemas.openxmlformats.org/officeDocument/2006/relationships/hyperlink" Target="https://leetcode.com/problems/burst-balloons/" TargetMode="External"/><Relationship Id="rId260" Type="http://schemas.openxmlformats.org/officeDocument/2006/relationships/hyperlink" Target="https://leetcode.com/problems/minimum-cost-to-cut-a-stick/" TargetMode="External"/><Relationship Id="rId261" Type="http://schemas.openxmlformats.org/officeDocument/2006/relationships/hyperlink" Target="https://leetcode.com/problems/stone-game/" TargetMode="External"/><Relationship Id="rId262" Type="http://schemas.openxmlformats.org/officeDocument/2006/relationships/hyperlink" Target="https://leetcode.com/problems/predict-the-winner/" TargetMode="External"/><Relationship Id="rId263" Type="http://schemas.openxmlformats.org/officeDocument/2006/relationships/hyperlink" Target="https://leetcode.com/problems/partition-array-for-maximum-sum/" TargetMode="External"/><Relationship Id="rId264" Type="http://schemas.openxmlformats.org/officeDocument/2006/relationships/hyperlink" Target="https://leetcode.com/problems/super-egg-drop/" TargetMode="External"/><Relationship Id="rId265" Type="http://schemas.openxmlformats.org/officeDocument/2006/relationships/hyperlink" Target="https://leetcode.com/problems/shortest-path-visiting-all-nodes/" TargetMode="External"/><Relationship Id="rId266" Type="http://schemas.openxmlformats.org/officeDocument/2006/relationships/hyperlink" Target="https://leetcode.com/problems/number-of-ways-to-wear-different-hats-to-each-other/" TargetMode="External"/><Relationship Id="rId267" Type="http://schemas.openxmlformats.org/officeDocument/2006/relationships/hyperlink" Target="https://leetcode.com/problems/minimum-number-of-work-sessions-to-finish-the-tasks/" TargetMode="External"/><Relationship Id="rId268" Type="http://schemas.openxmlformats.org/officeDocument/2006/relationships/hyperlink" Target="https://leetcode.com/problems/find-the-shortest-superstring/" TargetMode="External"/><Relationship Id="rId269" Type="http://schemas.openxmlformats.org/officeDocument/2006/relationships/hyperlink" Target="https://leetcode.com/problems/number-of-digit-one/" TargetMode="External"/><Relationship Id="rId270" Type="http://schemas.openxmlformats.org/officeDocument/2006/relationships/hyperlink" Target="https://leetcode.com/problems/binary-tree-cameras/" TargetMode="External"/><Relationship Id="rId271" Type="http://schemas.openxmlformats.org/officeDocument/2006/relationships/hyperlink" Target="https://leetcode.com/problems/maximum-profit-in-job-scheduling/" TargetMode="External"/><Relationship Id="rId272" Type="http://schemas.openxmlformats.org/officeDocument/2006/relationships/hyperlink" Target="https://leetcode.com/problems/longest-arithmetic-subsequence/" TargetMode="External"/><Relationship Id="rId273" Type="http://schemas.openxmlformats.org/officeDocument/2006/relationships/hyperlink" Target="https://leetcode.com/problems/knight-probability-in-chessboard/" TargetMode="External"/><Relationship Id="rId274" Type="http://schemas.openxmlformats.org/officeDocument/2006/relationships/hyperlink" Target="https://leetcode.com/problems/stone-game-ii/" TargetMode="External"/><Relationship Id="rId275" Type="http://schemas.openxmlformats.org/officeDocument/2006/relationships/hyperlink" Target="https://leetcode.com/problems/arithmetic-slices/" TargetMode="External"/><Relationship Id="rId276" Type="http://schemas.openxmlformats.org/officeDocument/2006/relationships/hyperlink" Target="https://leetcode.com/problems/longest-string-chain/" TargetMode="External"/><Relationship Id="rId277" Type="http://schemas.openxmlformats.org/officeDocument/2006/relationships/hyperlink" Target="https://leetcode.com/problems/maximum-length-of-repeated-subarray/" TargetMode="External"/><Relationship Id="rId278" Type="http://schemas.openxmlformats.org/officeDocument/2006/relationships/hyperlink" Target="https://leetcode.com/problems/domino-and-tromino-tiling/" TargetMode="External"/><Relationship Id="rId279" Type="http://schemas.openxmlformats.org/officeDocument/2006/relationships/hyperlink" Target="https://leetcode.com/problems/out-of-boundary-paths/" TargetMode="External"/><Relationship Id="rId280" Type="http://schemas.openxmlformats.org/officeDocument/2006/relationships/hyperlink" Target="https://leetcode.com/problems/minimum-cost-for-tickets/" TargetMode="External"/><Relationship Id="rId281" Type="http://schemas.openxmlformats.org/officeDocument/2006/relationships/hyperlink" Target="https://leetcode.com/problems/largest-divisible-subset/" TargetMode="External"/><Relationship Id="rId282" Type="http://schemas.openxmlformats.org/officeDocument/2006/relationships/hyperlink" Target="https://leetcode.com/problems/single-number/" TargetMode="External"/><Relationship Id="rId283" Type="http://schemas.openxmlformats.org/officeDocument/2006/relationships/hyperlink" Target="https://leetcode.com/problems/number-of-1-bits/" TargetMode="External"/><Relationship Id="rId284" Type="http://schemas.openxmlformats.org/officeDocument/2006/relationships/hyperlink" Target="https://leetcode.com/problems/counting-bits/" TargetMode="External"/><Relationship Id="rId285" Type="http://schemas.openxmlformats.org/officeDocument/2006/relationships/hyperlink" Target="https://leetcode.com/problems/reverse-bits/" TargetMode="External"/><Relationship Id="rId286" Type="http://schemas.openxmlformats.org/officeDocument/2006/relationships/hyperlink" Target="https://leetcode.com/problems/missing-number/" TargetMode="External"/><Relationship Id="rId287" Type="http://schemas.openxmlformats.org/officeDocument/2006/relationships/hyperlink" Target="https://leetcode.com/problems/sum-of-two-integers/" TargetMode="External"/><Relationship Id="rId288" Type="http://schemas.openxmlformats.org/officeDocument/2006/relationships/hyperlink" Target="https://leetcode.com/problems/single-number-ii/" TargetMode="External"/><Relationship Id="rId289" Type="http://schemas.openxmlformats.org/officeDocument/2006/relationships/hyperlink" Target="https://leetcode.com/problems/single-number-iii/" TargetMode="External"/><Relationship Id="rId290" Type="http://schemas.openxmlformats.org/officeDocument/2006/relationships/hyperlink" Target="https://leetcode.com/problems/divide-two-integers/" TargetMode="External"/><Relationship Id="rId291" Type="http://schemas.openxmlformats.org/officeDocument/2006/relationships/hyperlink" Target="https://leetcode.com/problems/powx-n/" TargetMode="External"/><Relationship Id="rId292" Type="http://schemas.openxmlformats.org/officeDocument/2006/relationships/hyperlink" Target="https://leetcode.com/problems/count-primes/" TargetMode="External"/><Relationship Id="rId293" Type="http://schemas.openxmlformats.org/officeDocument/2006/relationships/hyperlink" Target="https://leetcode.com/problems/happy-number/" TargetMode="External"/><Relationship Id="rId294" Type="http://schemas.openxmlformats.org/officeDocument/2006/relationships/hyperlink" Target="https://leetcode.com/problems/multiply-strings/" TargetMode="External"/><Relationship Id="rId295" Type="http://schemas.openxmlformats.org/officeDocument/2006/relationships/hyperlink" Target="https://leetcode.com/problems/plus-one/" TargetMode="External"/><Relationship Id="rId296" Type="http://schemas.openxmlformats.org/officeDocument/2006/relationships/hyperlink" Target="https://leetcode.com/problems/shortest-subarray-with-sum-at-least-k/" TargetMode="External"/><Relationship Id="rId297" Type="http://schemas.openxmlformats.org/officeDocument/2006/relationships/hyperlink" Target="https://leetcode.com/problems/constrained-subsequence-sum/" TargetMode="External"/><Relationship Id="rId298" Type="http://schemas.openxmlformats.org/officeDocument/2006/relationships/hyperlink" Target="https://leetcode.com/problems/jump-game-vi/" TargetMode="External"/><Relationship Id="rId299" Type="http://schemas.openxmlformats.org/officeDocument/2006/relationships/hyperlink" Target="https://leetcode.com/problems/longest-continuous-subarray-with-absolute-diff-less-than-or-equal-to-limit/" TargetMode="External"/><Relationship Id="rId300" Type="http://schemas.openxmlformats.org/officeDocument/2006/relationships/hyperlink" Target="https://leetcode.com/problems/subarrays-with-k-different-integers/" TargetMode="External"/><Relationship Id="rId301" Type="http://schemas.openxmlformats.org/officeDocument/2006/relationships/hyperlink" Target="https://leetcode.com/problems/count-number-of-nice-subarrays/" TargetMode="External"/><Relationship Id="rId302" Type="http://schemas.openxmlformats.org/officeDocument/2006/relationships/hyperlink" Target="https://leetcode.com/problems/number-of-substrings-containing-all-three-characters/" TargetMode="External"/><Relationship Id="rId303" Type="http://schemas.openxmlformats.org/officeDocument/2006/relationships/hyperlink" Target="https://leetcode.com/problems/maximum-points-you-can-obtain-from-cards/" TargetMode="External"/><Relationship Id="rId304" Type="http://schemas.openxmlformats.org/officeDocument/2006/relationships/hyperlink" Target="https://leetcode.com/problems/minimum-operations-to-reduce-x-to-zero/" TargetMode="External"/><Relationship Id="rId305" Type="http://schemas.openxmlformats.org/officeDocument/2006/relationships/hyperlink" Target="https://leetcode.com/problems/find-the-index-of-the-first-occurrence-in-a-string/" TargetMode="External"/><Relationship Id="rId306" Type="http://schemas.openxmlformats.org/officeDocument/2006/relationships/hyperlink" Target="https://leetcode.com/problems/repeated-substring-pattern/" TargetMode="External"/><Relationship Id="rId307" Type="http://schemas.openxmlformats.org/officeDocument/2006/relationships/hyperlink" Target="https://leetcode.com/problems/shortest-palindrome/" TargetMode="External"/><Relationship Id="rId308" Type="http://schemas.openxmlformats.org/officeDocument/2006/relationships/hyperlink" Target="https://leetcode.com/problems/longest-happy-prefix/" TargetMode="External"/><Relationship Id="rId309" Type="http://schemas.openxmlformats.org/officeDocument/2006/relationships/hyperlink" Target="https://leetcode.com/problems/longest-duplicate-substring/" TargetMode="External"/><Relationship Id="rId310" Type="http://schemas.openxmlformats.org/officeDocument/2006/relationships/hyperlink" Target="https://leetcode.com/problems/sum-of-scores-of-built-strings/" TargetMode="External"/><Relationship Id="rId311" Type="http://schemas.openxmlformats.org/officeDocument/2006/relationships/hyperlink" Target="https://leetcode.com/problems/longest-common-prefix/" TargetMode="External"/><Relationship Id="rId312" Type="http://schemas.openxmlformats.org/officeDocument/2006/relationships/hyperlink" Target="https://leetcode.com/problems/string-to-integer-atoi/" TargetMode="External"/><Relationship Id="rId313" Type="http://schemas.openxmlformats.org/officeDocument/2006/relationships/hyperlink" Target="https://leetcode.com/problems/zigzag-conversion/" TargetMode="External"/><Relationship Id="rId314" Type="http://schemas.openxmlformats.org/officeDocument/2006/relationships/hyperlink" Target="https://leetcode.com/problems/count-and-say/" TargetMode="External"/><Relationship Id="rId315" Type="http://schemas.openxmlformats.org/officeDocument/2006/relationships/hyperlink" Target="https://leetcode.com/problems/integer-to-roman/" TargetMode="External"/><Relationship Id="rId316" Type="http://schemas.openxmlformats.org/officeDocument/2006/relationships/hyperlink" Target="https://leetcode.com/problems/compare-version-numbers/" TargetMode="External"/><Relationship Id="rId317" Type="http://schemas.openxmlformats.org/officeDocument/2006/relationships/hyperlink" Target="https://leetcode.com/problems/text-justification/" TargetMode="External"/><Relationship Id="rId318" Type="http://schemas.openxmlformats.org/officeDocument/2006/relationships/hyperlink" Target="https://leetcode.com/problems/reverse-words-in-a-string/" TargetMode="External"/><Relationship Id="rId319" Type="http://schemas.openxmlformats.org/officeDocument/2006/relationships/hyperlink" Target="https://leetcode.com/problems/range-sum-query-mutable/" TargetMode="External"/><Relationship Id="rId320" Type="http://schemas.openxmlformats.org/officeDocument/2006/relationships/hyperlink" Target="https://leetcode.com/problems/range-sum-query-2d-immutable/" TargetMode="External"/><Relationship Id="rId321" Type="http://schemas.openxmlformats.org/officeDocument/2006/relationships/hyperlink" Target="https://leetcode.com/problems/count-of-smaller-numbers-after-self/" TargetMode="External"/><Relationship Id="rId322" Type="http://schemas.openxmlformats.org/officeDocument/2006/relationships/hyperlink" Target="https://leetcode.com/problems/reverse-pairs/" TargetMode="External"/><Relationship Id="rId323" Type="http://schemas.openxmlformats.org/officeDocument/2006/relationships/hyperlink" Target="https://leetcode.com/problems/my-calendar-i/" TargetMode="External"/><Relationship Id="rId324" Type="http://schemas.openxmlformats.org/officeDocument/2006/relationships/hyperlink" Target="https://leetcode.com/problems/my-calendar-iii/" TargetMode="External"/><Relationship Id="rId325" Type="http://schemas.openxmlformats.org/officeDocument/2006/relationships/hyperlink" Target="https://leetcode.com/problems/falling-squares/" TargetMode="External"/><Relationship Id="rId326" Type="http://schemas.openxmlformats.org/officeDocument/2006/relationships/hyperlink" Target="https://leetcode.com/problems/the-skyline-problem/" TargetMode="External"/><Relationship Id="rId327" Type="http://schemas.openxmlformats.org/officeDocument/2006/relationships/hyperlink" Target="https://leetcode.com/problems/count-of-range-sum/" TargetMode="External"/><Relationship Id="rId328" Type="http://schemas.openxmlformats.org/officeDocument/2006/relationships/hyperlink" Target="https://leetcode.com/problems/lfu-cache/" TargetMode="External"/><Relationship Id="rId329" Type="http://schemas.openxmlformats.org/officeDocument/2006/relationships/hyperlink" Target="https://leetcode.com/problems/design-hashmap/" TargetMode="External"/><Relationship Id="rId330" Type="http://schemas.openxmlformats.org/officeDocument/2006/relationships/hyperlink" Target="https://leetcode.com/problems/insert-delete-getrandom-o1/" TargetMode="External"/><Relationship Id="rId331" Type="http://schemas.openxmlformats.org/officeDocument/2006/relationships/hyperlink" Target="https://leetcode.com/problems/all-oone-data-structure/" TargetMode="External"/><Relationship Id="rId332" Type="http://schemas.openxmlformats.org/officeDocument/2006/relationships/hyperlink" Target="https://leetcode.com/problems/design-underground-system/" TargetMode="External"/><Relationship Id="rId333" Type="http://schemas.openxmlformats.org/officeDocument/2006/relationships/hyperlink" Target="https://leetcode.com/problems/implement-queue-using-stacks/" TargetMode="External"/><Relationship Id="rId334" Type="http://schemas.openxmlformats.org/officeDocument/2006/relationships/hyperlink" Target="https://leetcode.com/problems/implement-stack-using-queues/" TargetMode="External"/><Relationship Id="rId335" Type="http://schemas.openxmlformats.org/officeDocument/2006/relationships/hyperlink" Target="https://leetcode.com/problems/design-browser-history/" TargetMode="External"/><Relationship Id="rId336" Type="http://schemas.openxmlformats.org/officeDocument/2006/relationships/hyperlink" Target="https://leetcode.com/problems/snapshot-array/" TargetMode="External"/><Relationship Id="rId337" Type="http://schemas.openxmlformats.org/officeDocument/2006/relationships/hyperlink" Target="https://leetcode.com/problems/design-circular-queue/" TargetMode="External"/><Relationship Id="rId338" Type="http://schemas.openxmlformats.org/officeDocument/2006/relationships/hyperlink" Target="https://leetcode.com/problems/seat-reservation-manager/" TargetMode="External"/><Relationship Id="rId339" Type="http://schemas.openxmlformats.org/officeDocument/2006/relationships/hyperlink" Target="https://leetcode.com/problems/flatten-nested-list-iterator/" TargetMode="External"/><Relationship Id="rId340" Type="http://schemas.openxmlformats.org/officeDocument/2006/relationships/hyperlink" Target="https://leetcode.com/problems/number-of-ways-to-arrive-at-destination/" TargetMode="External"/><Relationship Id="rId341" Type="http://schemas.openxmlformats.org/officeDocument/2006/relationships/hyperlink" Target="https://leetcode.com/problems/shortest-path-with-alternating-colors/" TargetMode="External"/><Relationship Id="rId342" Type="http://schemas.openxmlformats.org/officeDocument/2006/relationships/hyperlink" Target="https://leetcode.com/problems/minimum-obstacle-removal-to-reach-corner/" TargetMode="External"/><Relationship Id="rId343" Type="http://schemas.openxmlformats.org/officeDocument/2006/relationships/hyperlink" Target="https://leetcode.com/problems/minimum-cost-to-make-at-least-one-valid-path-in-a-grid/" TargetMode="External"/><Relationship Id="rId344" Type="http://schemas.openxmlformats.org/officeDocument/2006/relationships/hyperlink" Target="https://leetcode.com/problems/word-ladder-ii/" TargetMode="External"/><Relationship Id="rId345" Type="http://schemas.openxmlformats.org/officeDocument/2006/relationships/hyperlink" Target="https://leetcode.com/problems/sort-items-by-groups-respecting-dependencies/" TargetMode="External"/><Relationship Id="rId346" Type="http://schemas.openxmlformats.org/officeDocument/2006/relationships/hyperlink" Target="https://leetcode.com/problems/reachable-nodes-in-subdivided-graph/" TargetMode="External"/><Relationship Id="rId347" Type="http://schemas.openxmlformats.org/officeDocument/2006/relationships/hyperlink" Target="https://leetcode.com/problems/detect-cycles-in-2d-grid/" TargetMode="External"/><Relationship Id="rId348" Type="http://schemas.openxmlformats.org/officeDocument/2006/relationships/hyperlink" Target="https://leetcode.com/problems/maximum-number-of-points-with-cost/" TargetMode="External"/><Relationship Id="rId349" Type="http://schemas.openxmlformats.org/officeDocument/2006/relationships/hyperlink" Target="https://leetcode.com/problems/path-with-maximum-gold/" TargetMode="External"/><Relationship Id="rId350" Type="http://schemas.openxmlformats.org/officeDocument/2006/relationships/hyperlink" Target="https://leetcode.com/problems/longest-valid-parentheses/" TargetMode="External"/><Relationship Id="rId351" Type="http://schemas.openxmlformats.org/officeDocument/2006/relationships/hyperlink" Target="https://leetcode.com/problems/word-break-ii/" TargetMode="External"/><Relationship Id="rId352" Type="http://schemas.openxmlformats.org/officeDocument/2006/relationships/hyperlink" Target="https://leetcode.com/problems/maximum-frequency-stack/" TargetMode="External"/><Relationship Id="rId353" Type="http://schemas.openxmlformats.org/officeDocument/2006/relationships/hyperlink" Target="https://leetcode.com/problems/trapping-rain-water-ii/" TargetMode="External"/><Relationship Id="rId354" Type="http://schemas.openxmlformats.org/officeDocument/2006/relationships/hyperlink" Target="https://leetcode.com/problems/minimum-number-of-refueling-stops/" TargetMode="External"/><Relationship Id="rId355" Type="http://schemas.openxmlformats.org/officeDocument/2006/relationships/hyperlink" Target="https://leetcode.com/problems/jump-game-iv/" TargetMode="External"/><Relationship Id="rId356" Type="http://schemas.openxmlformats.org/officeDocument/2006/relationships/hyperlink" Target="https://leetcode.com/problems/3sum-closest/" TargetMode="External"/><Relationship Id="rId357" Type="http://schemas.openxmlformats.org/officeDocument/2006/relationships/hyperlink" Target="https://leetcode.com/problems/max-points-on-a-line/" TargetMode="External"/><Relationship Id="rId358" Type="http://schemas.openxmlformats.org/officeDocument/2006/relationships/hyperlink" Target="https://leetcode.com/problems/merge-sorted-array/" TargetMode="External"/><Relationship Id="rId359" Type="http://schemas.openxmlformats.org/officeDocument/2006/relationships/hyperlink" Target="https://leetcode.com/problems/rotate-list/" TargetMode="External"/><Relationship Id="rId360" Type="http://schemas.openxmlformats.org/officeDocument/2006/relationships/hyperlink" Target="https://leetcode.com/problems/swap-nodes-in-pairs/" TargetMode="External"/><Relationship Id="rId361" Type="http://schemas.openxmlformats.org/officeDocument/2006/relationships/hyperlink" Target="https://leetcode.com/problems/odd-even-linked-list/" TargetMode="External"/><Relationship Id="rId362" Type="http://schemas.openxmlformats.org/officeDocument/2006/relationships/hyperlink" Target="https://leetcode.com/problems/partition-list/" TargetMode="External"/><Relationship Id="rId363" Type="http://schemas.openxmlformats.org/officeDocument/2006/relationships/hyperlink" Target="https://leetcode.com/problems/remove-duplicates-from-sorted-list-ii/" TargetMode="External"/><Relationship Id="rId364" Type="http://schemas.openxmlformats.org/officeDocument/2006/relationships/hyperlink" Target="https://leetcode.com/problems/reverse-linked-list-ii/" TargetMode="External"/><Relationship Id="rId365" Type="http://schemas.openxmlformats.org/officeDocument/2006/relationships/hyperlink" Target="https://leetcode.com/problems/populating-next-right-pointers-in-each-node/" TargetMode="External"/><Relationship Id="rId366" Type="http://schemas.openxmlformats.org/officeDocument/2006/relationships/hyperlink" Target="https://leetcode.com/problems/binary-search-tree-iterator/" TargetMode="External"/><Relationship Id="rId367" Type="http://schemas.openxmlformats.org/officeDocument/2006/relationships/hyperlink" Target="https://leetcode.com/problems/kth-smallest-element-in-a-sorted-matrix/" TargetMode="External"/><Relationship Id="rId368" Type="http://schemas.openxmlformats.org/officeDocument/2006/relationships/hyperlink" Target="https://leetcode.com/problems/search-in-rotated-sorted-array-ii/" TargetMode="External"/><Relationship Id="rId369" Type="http://schemas.openxmlformats.org/officeDocument/2006/relationships/hyperlink" Target="https://leetcode.com/problems/unique-binary-search-trees/" TargetMode="External"/><Relationship Id="rId370" Type="http://schemas.openxmlformats.org/officeDocument/2006/relationships/hyperlink" Target="https://leetcode.com/problems/unique-binary-search-trees-ii/" TargetMode="External"/><Relationship Id="rId371" Type="http://schemas.openxmlformats.org/officeDocument/2006/relationships/hyperlink" Target="https://leetcode.com/problems/maximum-sum-of-3-non-overlapping-subarrays/" TargetMode="External"/><Relationship Id="rId372" Type="http://schemas.openxmlformats.org/officeDocument/2006/relationships/hyperlink" Target="https://leetcode.com/problems/find-in-mountain-array/" TargetMode="External"/><Relationship Id="rId373" Type="http://schemas.openxmlformats.org/officeDocument/2006/relationships/hyperlink" Target="https://leetcode.com/problems/maximum-number-of-events-that-can-be-attended/" TargetMode="External"/><Relationship Id="rId374" Type="http://schemas.openxmlformats.org/officeDocument/2006/relationships/hyperlink" Target="https://leetcode.com/problems/non-decreasing-array/" TargetMode="External"/><Relationship Id="rId375" Type="http://schemas.openxmlformats.org/officeDocument/2006/relationships/hyperlink" Target="https://leetcode.com/problems/valid-sudoku/" TargetMode="External"/><Relationship Id="rId376" Type="http://schemas.openxmlformats.org/officeDocument/2006/relationships/hyperlink" Target="https://leetcode.com/problems/game-of-life/" TargetMode="External"/><Relationship Id="rId377" Type="http://schemas.openxmlformats.org/officeDocument/2006/relationships/hyperlink" Target="https://leetcode.com/problems/bulls-and-cows/" TargetMode="External"/><Relationship Id="rId378" Type="http://schemas.openxmlformats.org/officeDocument/2006/relationships/hyperlink" Target="https://leetcode.com/problems/lexicographical-numbers/" TargetMode="External"/><Relationship Id="rId379" Type="http://schemas.openxmlformats.org/officeDocument/2006/relationships/hyperlink" Target="https://leetcode.com/problems/k-th-symbol-in-grammar/" TargetMode="External"/><Relationship Id="rId380" Type="http://schemas.openxmlformats.org/officeDocument/2006/relationships/hyperlink" Target="https://leetcode.com/problems/my-calendar-ii/" TargetMode="External"/><Relationship Id="rId381" Type="http://schemas.openxmlformats.org/officeDocument/2006/relationships/hyperlink" Target="https://leetcode.com/problems/smallest-string-with-swaps/" TargetMode="External"/><Relationship Id="rId382" Type="http://schemas.openxmlformats.org/officeDocument/2006/relationships/hyperlink" Target="https://leetcode.com/problems/maximum-score-of-a-good-subarray/" TargetMode="External"/><Relationship Id="rId383" Type="http://schemas.openxmlformats.org/officeDocument/2006/relationships/hyperlink" Target="https://leetcode.com/problems/longest-increasing-subsequence-ii/" TargetMode="External"/><Relationship Id="rId384" Type="http://schemas.openxmlformats.org/officeDocument/2006/relationships/hyperlink" Target="https://leetcode.com/problems/minimum-interval-to-include-each-query/" TargetMode="External"/><Relationship Id="rId385" Type="http://schemas.openxmlformats.org/officeDocument/2006/relationships/hyperlink" Target="https://leetcode.com/problems/maximum-subarray-min-product/" TargetMode="External"/><Relationship Id="rId386" Type="http://schemas.openxmlformats.org/officeDocument/2006/relationships/hyperlink" Target="https://leetcode.com/problems/find-duplicate-subtrees/" TargetMode="External"/><Relationship Id="rId387" Type="http://schemas.openxmlformats.org/officeDocument/2006/relationships/hyperlink" Target="https://leetcode.com/problems/longest-zigzag-path-in-a-binary-tree/" TargetMode="External"/><Relationship Id="rId388" Type="http://schemas.openxmlformats.org/officeDocument/2006/relationships/hyperlink" Target="https://leetcode.com/problems/lowest-common-ancestor-of-deepest-leaves/" TargetMode="External"/><Relationship Id="rId389" Type="http://schemas.openxmlformats.org/officeDocument/2006/relationships/hyperlink" Target="https://leetcode.com/problems/count-complete-tree-nodes/" TargetMode="External"/><Relationship Id="rId390" Type="http://schemas.openxmlformats.org/officeDocument/2006/relationships/hyperlink" Target="https://leetcode.com/problems/maximal-rectangle/" TargetMode="External"/><Relationship Id="rId391" Type="http://schemas.openxmlformats.org/officeDocument/2006/relationships/hyperlink" Target="https://leetcode.com/problems/minimum-cost-to-hire-k-workers/" TargetMode="External"/><Relationship Id="rId392" Type="http://schemas.openxmlformats.org/officeDocument/2006/relationships/hyperlink" Target="https://leetcode.com/problems/longest-substring-with-at-least-k-repeating-characters/" TargetMode="External"/><Relationship Id="rId393" Type="http://schemas.openxmlformats.org/officeDocument/2006/relationships/hyperlink" Target="https://leetcode.com/problems/frog-jump/" TargetMode="External"/><Relationship Id="rId394" Type="http://schemas.openxmlformats.org/officeDocument/2006/relationships/hyperlink" Target="https://leetcode.com/problems/cherry-pickup-ii/" TargetMode="External"/><Relationship Id="rId39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46314</v>
      </c>
      <c r="C4" s="5" t="s">
        <v>3</v>
      </c>
    </row>
    <row r="6" customFormat="false" ht="15" hidden="false" customHeight="false" outlineLevel="0" collapsed="false">
      <c r="A6" s="6" t="s">
        <v>4</v>
      </c>
    </row>
    <row r="7" customFormat="false" ht="15" hidden="false" customHeight="false" outlineLevel="0" collapsed="false">
      <c r="A7" s="7" t="s">
        <v>5</v>
      </c>
      <c r="B7" s="8" t="s">
        <v>6</v>
      </c>
    </row>
    <row r="8" customFormat="false" ht="15" hidden="false" customHeight="false" outlineLevel="0" collapsed="false">
      <c r="A8" s="7" t="s">
        <v>7</v>
      </c>
      <c r="B8" s="8" t="s">
        <v>8</v>
      </c>
    </row>
    <row r="9" customFormat="false" ht="15" hidden="false" customHeight="false" outlineLevel="0" collapsed="false">
      <c r="A9" s="7" t="s">
        <v>9</v>
      </c>
      <c r="B9" s="8" t="s">
        <v>10</v>
      </c>
    </row>
    <row r="10" customFormat="false" ht="15" hidden="false" customHeight="false" outlineLevel="0" collapsed="false">
      <c r="A10" s="7" t="s">
        <v>11</v>
      </c>
      <c r="B10" s="8" t="s">
        <v>12</v>
      </c>
    </row>
    <row r="12" customFormat="false" ht="15" hidden="false" customHeight="false" outlineLevel="0" collapsed="false">
      <c r="A12" s="6" t="s">
        <v>13</v>
      </c>
    </row>
    <row r="13" customFormat="false" ht="15" hidden="false" customHeight="false" outlineLevel="0" collapsed="false">
      <c r="A13" s="7" t="s">
        <v>14</v>
      </c>
      <c r="B13" s="8" t="s">
        <v>15</v>
      </c>
    </row>
    <row r="14" customFormat="false" ht="15" hidden="false" customHeight="false" outlineLevel="0" collapsed="false">
      <c r="A14" s="7" t="s">
        <v>16</v>
      </c>
      <c r="B14" s="8" t="s">
        <v>17</v>
      </c>
    </row>
    <row r="15" customFormat="false" ht="15" hidden="false" customHeight="false" outlineLevel="0" collapsed="false">
      <c r="A15" s="7" t="s">
        <v>18</v>
      </c>
      <c r="B15" s="8" t="s">
        <v>19</v>
      </c>
    </row>
    <row r="16" customFormat="false" ht="15" hidden="false" customHeight="false" outlineLevel="0" collapsed="false">
      <c r="A16" s="7" t="s">
        <v>20</v>
      </c>
      <c r="B16" s="8" t="s">
        <v>21</v>
      </c>
    </row>
    <row r="18" customFormat="false" ht="15" hidden="false" customHeight="false" outlineLevel="0" collapsed="false">
      <c r="A18" s="6" t="s">
        <v>22</v>
      </c>
    </row>
    <row r="19" customFormat="false" ht="15" hidden="false" customHeight="false" outlineLevel="0" collapsed="false">
      <c r="A19" s="7" t="s">
        <v>23</v>
      </c>
      <c r="B19" s="8" t="s">
        <v>24</v>
      </c>
    </row>
    <row r="20" customFormat="false" ht="15" hidden="false" customHeight="false" outlineLevel="0" collapsed="false">
      <c r="A20" s="7" t="s">
        <v>25</v>
      </c>
      <c r="B20" s="8" t="s">
        <v>26</v>
      </c>
    </row>
    <row r="21" customFormat="false" ht="15" hidden="false" customHeight="false" outlineLevel="0" collapsed="false">
      <c r="A21" s="7" t="s">
        <v>27</v>
      </c>
      <c r="B21" s="8" t="s">
        <v>28</v>
      </c>
    </row>
    <row r="22" customFormat="false" ht="23.85" hidden="false" customHeight="false" outlineLevel="0" collapsed="false">
      <c r="A22" s="7" t="s">
        <v>29</v>
      </c>
      <c r="B22" s="8" t="s">
        <v>30</v>
      </c>
    </row>
    <row r="23" customFormat="false" ht="23.85" hidden="false" customHeight="false" outlineLevel="0" collapsed="false">
      <c r="A23" s="7" t="s">
        <v>31</v>
      </c>
      <c r="B23" s="8" t="s">
        <v>32</v>
      </c>
    </row>
    <row r="24" customFormat="false" ht="15" hidden="false" customHeight="false" outlineLevel="0" collapsed="false">
      <c r="A24" s="7" t="s">
        <v>33</v>
      </c>
      <c r="B24" s="8" t="s">
        <v>34</v>
      </c>
    </row>
    <row r="26" customFormat="false" ht="15" hidden="false" customHeight="false" outlineLevel="0" collapsed="false">
      <c r="A26" s="6" t="s">
        <v>35</v>
      </c>
    </row>
    <row r="27" customFormat="false" ht="15" hidden="false" customHeight="false" outlineLevel="0" collapsed="false">
      <c r="A27" s="7" t="s">
        <v>36</v>
      </c>
      <c r="B27" s="8" t="s">
        <v>37</v>
      </c>
    </row>
    <row r="28" customFormat="false" ht="15" hidden="false" customHeight="false" outlineLevel="0" collapsed="false">
      <c r="A28" s="7" t="s">
        <v>38</v>
      </c>
      <c r="B28" s="8" t="s">
        <v>39</v>
      </c>
    </row>
    <row r="29" customFormat="false" ht="23.85" hidden="false" customHeight="false" outlineLevel="0" collapsed="false">
      <c r="A29" s="7" t="s">
        <v>40</v>
      </c>
      <c r="B29" s="8" t="s">
        <v>41</v>
      </c>
    </row>
    <row r="30" customFormat="false" ht="15" hidden="false" customHeight="false" outlineLevel="0" collapsed="false">
      <c r="A30" s="7" t="s">
        <v>42</v>
      </c>
      <c r="B30" s="8" t="s">
        <v>43</v>
      </c>
    </row>
    <row r="31" customFormat="false" ht="15" hidden="false" customHeight="false" outlineLevel="0" collapsed="false">
      <c r="A31" s="7" t="s">
        <v>44</v>
      </c>
      <c r="B31" s="8" t="s">
        <v>45</v>
      </c>
    </row>
    <row r="32" customFormat="false" ht="23.85" hidden="false" customHeight="false" outlineLevel="0" collapsed="false">
      <c r="A32" s="7" t="s">
        <v>46</v>
      </c>
      <c r="B32" s="8" t="s">
        <v>47</v>
      </c>
    </row>
    <row r="34" customFormat="false" ht="15" hidden="false" customHeight="false" outlineLevel="0" collapsed="false">
      <c r="A34" s="6" t="s">
        <v>48</v>
      </c>
    </row>
    <row r="35" customFormat="false" ht="23.85" hidden="false" customHeight="false" outlineLevel="0" collapsed="false">
      <c r="A35" s="7" t="s">
        <v>49</v>
      </c>
      <c r="B35" s="8" t="s">
        <v>50</v>
      </c>
    </row>
    <row r="36" customFormat="false" ht="23.85" hidden="false" customHeight="false" outlineLevel="0" collapsed="false">
      <c r="A36" s="7" t="s">
        <v>51</v>
      </c>
      <c r="B36" s="8" t="s">
        <v>52</v>
      </c>
    </row>
    <row r="37" customFormat="false" ht="15" hidden="false" customHeight="false" outlineLevel="0" collapsed="false">
      <c r="A37" s="7" t="s">
        <v>53</v>
      </c>
      <c r="B37" s="8" t="s">
        <v>54</v>
      </c>
    </row>
    <row r="39" customFormat="false" ht="15" hidden="false" customHeight="false" outlineLevel="0" collapsed="false">
      <c r="A39" s="6" t="s">
        <v>55</v>
      </c>
    </row>
    <row r="40" customFormat="false" ht="15" hidden="false" customHeight="false" outlineLevel="0" collapsed="false">
      <c r="A40" s="7" t="s">
        <v>56</v>
      </c>
      <c r="B40" s="8" t="s">
        <v>57</v>
      </c>
    </row>
    <row r="41" customFormat="false" ht="15" hidden="false" customHeight="false" outlineLevel="0" collapsed="false">
      <c r="A41" s="7" t="s">
        <v>58</v>
      </c>
      <c r="B41" s="8" t="s">
        <v>59</v>
      </c>
    </row>
    <row r="43" customFormat="false" ht="15" hidden="false" customHeight="false" outlineLevel="0" collapsed="false">
      <c r="A43" s="6" t="s">
        <v>60</v>
      </c>
    </row>
    <row r="44" customFormat="false" ht="23.85" hidden="false" customHeight="false" outlineLevel="0" collapsed="false">
      <c r="A44" s="7" t="s">
        <v>61</v>
      </c>
      <c r="B44" s="8" t="s">
        <v>62</v>
      </c>
    </row>
    <row r="45" customFormat="false" ht="15" hidden="false" customHeight="false" outlineLevel="0" collapsed="false">
      <c r="A45" s="7" t="s">
        <v>63</v>
      </c>
      <c r="B45" s="8" t="s">
        <v>64</v>
      </c>
    </row>
    <row r="46" customFormat="false" ht="15" hidden="false" customHeight="false" outlineLevel="0" collapsed="false">
      <c r="A46" s="7" t="s">
        <v>65</v>
      </c>
      <c r="B46" s="8" t="s">
        <v>66</v>
      </c>
    </row>
    <row r="48" customFormat="false" ht="15" hidden="false" customHeight="false" outlineLevel="0" collapsed="false">
      <c r="A48" s="6" t="s">
        <v>67</v>
      </c>
    </row>
    <row r="49" customFormat="false" ht="23.85" hidden="false" customHeight="false" outlineLevel="0" collapsed="false">
      <c r="A49" s="7" t="s">
        <v>68</v>
      </c>
      <c r="B49" s="8" t="s">
        <v>69</v>
      </c>
    </row>
    <row r="50" customFormat="false" ht="23.85" hidden="false" customHeight="false" outlineLevel="0" collapsed="false">
      <c r="A50" s="7" t="s">
        <v>70</v>
      </c>
      <c r="B50" s="8" t="s"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36"/>
    <col collapsed="false" customWidth="true" hidden="false" outlineLevel="0" max="5" min="5" style="0" width="52"/>
    <col collapsed="false" customWidth="true" hidden="false" outlineLevel="0" max="7" min="6" style="0" width="12"/>
    <col collapsed="false" customWidth="true" hidden="false" outlineLevel="0" max="8" min="8" style="0" width="48"/>
  </cols>
  <sheetData>
    <row r="1" customFormat="false" ht="23.85" hidden="false" customHeight="false" outlineLevel="0" collapsed="false">
      <c r="A1" s="9" t="s">
        <v>72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77</v>
      </c>
      <c r="G1" s="9" t="s">
        <v>78</v>
      </c>
      <c r="H1" s="9" t="s">
        <v>79</v>
      </c>
    </row>
    <row r="2" customFormat="false" ht="23.85" hidden="false" customHeight="false" outlineLevel="0" collapsed="false">
      <c r="A2" s="10" t="n">
        <v>0</v>
      </c>
      <c r="B2" s="11" t="n">
        <f aca="false">ReadMe!$B$4+7*A2</f>
        <v>46314</v>
      </c>
      <c r="C2" s="10" t="s">
        <v>80</v>
      </c>
      <c r="D2" s="10" t="s">
        <v>81</v>
      </c>
      <c r="E2" s="10" t="s">
        <v>82</v>
      </c>
      <c r="F2" s="10" t="n">
        <f aca="false">COUNTIF(Problems!$B:$B,A2)</f>
        <v>0</v>
      </c>
      <c r="G2" s="10" t="n">
        <f aca="false">COUNTIFS(Problems!$B:$B,A2,Problems!$F:$F,"P1")</f>
        <v>0</v>
      </c>
      <c r="H2" s="10" t="s">
        <v>83</v>
      </c>
    </row>
    <row r="3" customFormat="false" ht="15" hidden="false" customHeight="false" outlineLevel="0" collapsed="false">
      <c r="A3" s="10" t="n">
        <v>1</v>
      </c>
      <c r="B3" s="11" t="n">
        <f aca="false">ReadMe!$B$4+7*A3</f>
        <v>46321</v>
      </c>
      <c r="C3" s="10" t="s">
        <v>84</v>
      </c>
      <c r="D3" s="10" t="s">
        <v>85</v>
      </c>
      <c r="E3" s="10" t="s">
        <v>86</v>
      </c>
      <c r="F3" s="10" t="n">
        <f aca="false">COUNTIF(Problems!$B:$B,A3)</f>
        <v>11</v>
      </c>
      <c r="G3" s="10" t="n">
        <f aca="false">COUNTIFS(Problems!$B:$B,A3,Problems!$F:$F,"P1")</f>
        <v>7</v>
      </c>
      <c r="H3" s="10" t="s">
        <v>87</v>
      </c>
    </row>
    <row r="4" customFormat="false" ht="15" hidden="false" customHeight="false" outlineLevel="0" collapsed="false">
      <c r="A4" s="10" t="n">
        <v>2</v>
      </c>
      <c r="B4" s="11" t="n">
        <f aca="false">ReadMe!$B$4+7*A4</f>
        <v>46328</v>
      </c>
      <c r="C4" s="10" t="s">
        <v>84</v>
      </c>
      <c r="D4" s="10" t="s">
        <v>88</v>
      </c>
      <c r="E4" s="10" t="s">
        <v>89</v>
      </c>
      <c r="F4" s="10" t="n">
        <f aca="false">COUNTIF(Problems!$B:$B,A4)</f>
        <v>11</v>
      </c>
      <c r="G4" s="10" t="n">
        <f aca="false">COUNTIFS(Problems!$B:$B,A4,Problems!$F:$F,"P1")</f>
        <v>7</v>
      </c>
      <c r="H4" s="10" t="s">
        <v>90</v>
      </c>
    </row>
    <row r="5" customFormat="false" ht="15" hidden="false" customHeight="false" outlineLevel="0" collapsed="false">
      <c r="A5" s="10" t="n">
        <v>3</v>
      </c>
      <c r="B5" s="11" t="n">
        <f aca="false">ReadMe!$B$4+7*A5</f>
        <v>46335</v>
      </c>
      <c r="C5" s="10" t="s">
        <v>84</v>
      </c>
      <c r="D5" s="10" t="s">
        <v>91</v>
      </c>
      <c r="E5" s="10" t="s">
        <v>92</v>
      </c>
      <c r="F5" s="10" t="n">
        <f aca="false">COUNTIF(Problems!$B:$B,A5)</f>
        <v>10</v>
      </c>
      <c r="G5" s="10" t="n">
        <f aca="false">COUNTIFS(Problems!$B:$B,A5,Problems!$F:$F,"P1")</f>
        <v>3</v>
      </c>
      <c r="H5" s="10" t="s">
        <v>90</v>
      </c>
    </row>
    <row r="6" customFormat="false" ht="15" hidden="false" customHeight="false" outlineLevel="0" collapsed="false">
      <c r="A6" s="10" t="n">
        <v>4</v>
      </c>
      <c r="B6" s="11" t="n">
        <f aca="false">ReadMe!$B$4+7*A6</f>
        <v>46342</v>
      </c>
      <c r="C6" s="10" t="s">
        <v>84</v>
      </c>
      <c r="D6" s="10" t="s">
        <v>93</v>
      </c>
      <c r="E6" s="10" t="s">
        <v>94</v>
      </c>
      <c r="F6" s="10" t="n">
        <f aca="false">COUNTIF(Problems!$B:$B,A6)</f>
        <v>10</v>
      </c>
      <c r="G6" s="10" t="n">
        <f aca="false">COUNTIFS(Problems!$B:$B,A6,Problems!$F:$F,"P1")</f>
        <v>5</v>
      </c>
      <c r="H6" s="10" t="s">
        <v>90</v>
      </c>
    </row>
    <row r="7" customFormat="false" ht="23.85" hidden="false" customHeight="false" outlineLevel="0" collapsed="false">
      <c r="A7" s="10" t="n">
        <v>5</v>
      </c>
      <c r="B7" s="11" t="n">
        <f aca="false">ReadMe!$B$4+7*A7</f>
        <v>46349</v>
      </c>
      <c r="C7" s="10" t="s">
        <v>84</v>
      </c>
      <c r="D7" s="10" t="s">
        <v>95</v>
      </c>
      <c r="E7" s="10" t="s">
        <v>96</v>
      </c>
      <c r="F7" s="10" t="n">
        <f aca="false">COUNTIF(Problems!$B:$B,A7)</f>
        <v>13</v>
      </c>
      <c r="G7" s="10" t="n">
        <f aca="false">COUNTIFS(Problems!$B:$B,A7,Problems!$F:$F,"P1")</f>
        <v>6</v>
      </c>
      <c r="H7" s="10" t="s">
        <v>90</v>
      </c>
    </row>
    <row r="8" customFormat="false" ht="23.85" hidden="false" customHeight="false" outlineLevel="0" collapsed="false">
      <c r="A8" s="10" t="n">
        <v>6</v>
      </c>
      <c r="B8" s="11" t="n">
        <f aca="false">ReadMe!$B$4+7*A8</f>
        <v>46356</v>
      </c>
      <c r="C8" s="10" t="s">
        <v>84</v>
      </c>
      <c r="D8" s="10" t="s">
        <v>97</v>
      </c>
      <c r="E8" s="10" t="s">
        <v>98</v>
      </c>
      <c r="F8" s="10" t="n">
        <f aca="false">COUNTIF(Problems!$B:$B,A8)</f>
        <v>15</v>
      </c>
      <c r="G8" s="10" t="n">
        <f aca="false">COUNTIFS(Problems!$B:$B,A8,Problems!$F:$F,"P1")</f>
        <v>7</v>
      </c>
      <c r="H8" s="10" t="s">
        <v>90</v>
      </c>
    </row>
    <row r="9" customFormat="false" ht="23.85" hidden="false" customHeight="false" outlineLevel="0" collapsed="false">
      <c r="A9" s="12" t="n">
        <v>7</v>
      </c>
      <c r="B9" s="13" t="n">
        <f aca="false">ReadMe!$B$4+7*A9</f>
        <v>46363</v>
      </c>
      <c r="C9" s="12" t="s">
        <v>84</v>
      </c>
      <c r="D9" s="12" t="s">
        <v>99</v>
      </c>
      <c r="E9" s="12" t="s">
        <v>100</v>
      </c>
      <c r="F9" s="12" t="n">
        <f aca="false">COUNTIF(Problems!$B:$B,A9)</f>
        <v>15</v>
      </c>
      <c r="G9" s="12" t="n">
        <f aca="false">COUNTIFS(Problems!$B:$B,A9,Problems!$F:$F,"P1")</f>
        <v>9</v>
      </c>
      <c r="H9" s="12" t="s">
        <v>101</v>
      </c>
    </row>
    <row r="10" customFormat="false" ht="23.85" hidden="false" customHeight="false" outlineLevel="0" collapsed="false">
      <c r="A10" s="10" t="n">
        <v>8</v>
      </c>
      <c r="B10" s="11" t="n">
        <f aca="false">ReadMe!$B$4+7*A10</f>
        <v>46370</v>
      </c>
      <c r="C10" s="10" t="s">
        <v>102</v>
      </c>
      <c r="D10" s="10" t="s">
        <v>103</v>
      </c>
      <c r="E10" s="10" t="s">
        <v>104</v>
      </c>
      <c r="F10" s="10" t="n">
        <f aca="false">COUNTIF(Problems!$B:$B,A10)</f>
        <v>15</v>
      </c>
      <c r="G10" s="10" t="n">
        <f aca="false">COUNTIFS(Problems!$B:$B,A10,Problems!$F:$F,"P1")</f>
        <v>3</v>
      </c>
      <c r="H10" s="10" t="s">
        <v>90</v>
      </c>
    </row>
    <row r="11" customFormat="false" ht="23.85" hidden="false" customHeight="false" outlineLevel="0" collapsed="false">
      <c r="A11" s="10" t="n">
        <v>9</v>
      </c>
      <c r="B11" s="11" t="n">
        <f aca="false">ReadMe!$B$4+7*A11</f>
        <v>46377</v>
      </c>
      <c r="C11" s="10" t="s">
        <v>102</v>
      </c>
      <c r="D11" s="10" t="s">
        <v>105</v>
      </c>
      <c r="E11" s="10" t="s">
        <v>106</v>
      </c>
      <c r="F11" s="10" t="n">
        <f aca="false">COUNTIF(Problems!$B:$B,A11)</f>
        <v>12</v>
      </c>
      <c r="G11" s="10" t="n">
        <f aca="false">COUNTIFS(Problems!$B:$B,A11,Problems!$F:$F,"P1")</f>
        <v>6</v>
      </c>
      <c r="H11" s="10" t="s">
        <v>90</v>
      </c>
    </row>
    <row r="12" customFormat="false" ht="23.85" hidden="false" customHeight="false" outlineLevel="0" collapsed="false">
      <c r="A12" s="10" t="n">
        <v>10</v>
      </c>
      <c r="B12" s="11" t="n">
        <f aca="false">ReadMe!$B$4+7*A12</f>
        <v>46384</v>
      </c>
      <c r="C12" s="10" t="s">
        <v>102</v>
      </c>
      <c r="D12" s="10" t="s">
        <v>107</v>
      </c>
      <c r="E12" s="10" t="s">
        <v>108</v>
      </c>
      <c r="F12" s="10" t="n">
        <f aca="false">COUNTIF(Problems!$B:$B,A12)</f>
        <v>12</v>
      </c>
      <c r="G12" s="10" t="n">
        <f aca="false">COUNTIFS(Problems!$B:$B,A12,Problems!$F:$F,"P1")</f>
        <v>5</v>
      </c>
      <c r="H12" s="10" t="s">
        <v>90</v>
      </c>
    </row>
    <row r="13" customFormat="false" ht="23.85" hidden="false" customHeight="false" outlineLevel="0" collapsed="false">
      <c r="A13" s="10" t="n">
        <v>11</v>
      </c>
      <c r="B13" s="11" t="n">
        <f aca="false">ReadMe!$B$4+7*A13</f>
        <v>46391</v>
      </c>
      <c r="C13" s="10" t="s">
        <v>102</v>
      </c>
      <c r="D13" s="10" t="s">
        <v>109</v>
      </c>
      <c r="E13" s="10" t="s">
        <v>110</v>
      </c>
      <c r="F13" s="10" t="n">
        <f aca="false">COUNTIF(Problems!$B:$B,A13)</f>
        <v>13</v>
      </c>
      <c r="G13" s="10" t="n">
        <f aca="false">COUNTIFS(Problems!$B:$B,A13,Problems!$F:$F,"P1")</f>
        <v>5</v>
      </c>
      <c r="H13" s="10" t="s">
        <v>90</v>
      </c>
    </row>
    <row r="14" customFormat="false" ht="23.85" hidden="false" customHeight="false" outlineLevel="0" collapsed="false">
      <c r="A14" s="10" t="n">
        <v>12</v>
      </c>
      <c r="B14" s="11" t="n">
        <f aca="false">ReadMe!$B$4+7*A14</f>
        <v>46398</v>
      </c>
      <c r="C14" s="10" t="s">
        <v>102</v>
      </c>
      <c r="D14" s="10" t="s">
        <v>111</v>
      </c>
      <c r="E14" s="10" t="s">
        <v>112</v>
      </c>
      <c r="F14" s="10" t="n">
        <f aca="false">COUNTIF(Problems!$B:$B,A14)</f>
        <v>12</v>
      </c>
      <c r="G14" s="10" t="n">
        <f aca="false">COUNTIFS(Problems!$B:$B,A14,Problems!$F:$F,"P1")</f>
        <v>7</v>
      </c>
      <c r="H14" s="10" t="s">
        <v>90</v>
      </c>
    </row>
    <row r="15" customFormat="false" ht="23.85" hidden="false" customHeight="false" outlineLevel="0" collapsed="false">
      <c r="A15" s="10" t="n">
        <v>13</v>
      </c>
      <c r="B15" s="11" t="n">
        <f aca="false">ReadMe!$B$4+7*A15</f>
        <v>46405</v>
      </c>
      <c r="C15" s="10" t="s">
        <v>102</v>
      </c>
      <c r="D15" s="10" t="s">
        <v>113</v>
      </c>
      <c r="E15" s="10" t="s">
        <v>114</v>
      </c>
      <c r="F15" s="10" t="n">
        <f aca="false">COUNTIF(Problems!$B:$B,A15)</f>
        <v>9</v>
      </c>
      <c r="G15" s="10" t="n">
        <f aca="false">COUNTIFS(Problems!$B:$B,A15,Problems!$F:$F,"P1")</f>
        <v>2</v>
      </c>
      <c r="H15" s="10" t="s">
        <v>90</v>
      </c>
    </row>
    <row r="16" customFormat="false" ht="23.85" hidden="false" customHeight="false" outlineLevel="0" collapsed="false">
      <c r="A16" s="10" t="n">
        <v>14</v>
      </c>
      <c r="B16" s="11" t="n">
        <f aca="false">ReadMe!$B$4+7*A16</f>
        <v>46412</v>
      </c>
      <c r="C16" s="10" t="s">
        <v>102</v>
      </c>
      <c r="D16" s="10" t="s">
        <v>115</v>
      </c>
      <c r="E16" s="10" t="s">
        <v>116</v>
      </c>
      <c r="F16" s="10" t="n">
        <f aca="false">COUNTIF(Problems!$B:$B,A16)</f>
        <v>14</v>
      </c>
      <c r="G16" s="10" t="n">
        <f aca="false">COUNTIFS(Problems!$B:$B,A16,Problems!$F:$F,"P1")</f>
        <v>6</v>
      </c>
      <c r="H16" s="10" t="s">
        <v>90</v>
      </c>
    </row>
    <row r="17" customFormat="false" ht="23.85" hidden="false" customHeight="false" outlineLevel="0" collapsed="false">
      <c r="A17" s="10" t="n">
        <v>15</v>
      </c>
      <c r="B17" s="11" t="n">
        <f aca="false">ReadMe!$B$4+7*A17</f>
        <v>46419</v>
      </c>
      <c r="C17" s="10" t="s">
        <v>102</v>
      </c>
      <c r="D17" s="10" t="s">
        <v>117</v>
      </c>
      <c r="E17" s="10" t="s">
        <v>118</v>
      </c>
      <c r="F17" s="10" t="n">
        <f aca="false">COUNTIF(Problems!$B:$B,A17)</f>
        <v>12</v>
      </c>
      <c r="G17" s="10" t="n">
        <f aca="false">COUNTIFS(Problems!$B:$B,A17,Problems!$F:$F,"P1")</f>
        <v>5</v>
      </c>
      <c r="H17" s="10" t="s">
        <v>90</v>
      </c>
    </row>
    <row r="18" customFormat="false" ht="23.85" hidden="false" customHeight="false" outlineLevel="0" collapsed="false">
      <c r="A18" s="12" t="n">
        <v>16</v>
      </c>
      <c r="B18" s="13" t="n">
        <f aca="false">ReadMe!$B$4+7*A18</f>
        <v>46426</v>
      </c>
      <c r="C18" s="12" t="s">
        <v>102</v>
      </c>
      <c r="D18" s="12" t="s">
        <v>119</v>
      </c>
      <c r="E18" s="12" t="s">
        <v>120</v>
      </c>
      <c r="F18" s="12" t="n">
        <f aca="false">COUNTIF(Problems!$B:$B,A18)</f>
        <v>12</v>
      </c>
      <c r="G18" s="12" t="n">
        <f aca="false">COUNTIFS(Problems!$B:$B,A18,Problems!$F:$F,"P1")</f>
        <v>5</v>
      </c>
      <c r="H18" s="12" t="s">
        <v>121</v>
      </c>
    </row>
    <row r="19" customFormat="false" ht="23.85" hidden="false" customHeight="false" outlineLevel="0" collapsed="false">
      <c r="A19" s="10" t="n">
        <v>17</v>
      </c>
      <c r="B19" s="11" t="n">
        <f aca="false">ReadMe!$B$4+7*A19</f>
        <v>46433</v>
      </c>
      <c r="C19" s="10" t="s">
        <v>122</v>
      </c>
      <c r="D19" s="10" t="s">
        <v>123</v>
      </c>
      <c r="E19" s="10" t="s">
        <v>124</v>
      </c>
      <c r="F19" s="10" t="n">
        <f aca="false">COUNTIF(Problems!$B:$B,A19)</f>
        <v>13</v>
      </c>
      <c r="G19" s="10" t="n">
        <f aca="false">COUNTIFS(Problems!$B:$B,A19,Problems!$F:$F,"P1")</f>
        <v>4</v>
      </c>
      <c r="H19" s="10" t="s">
        <v>90</v>
      </c>
    </row>
    <row r="20" customFormat="false" ht="23.85" hidden="false" customHeight="false" outlineLevel="0" collapsed="false">
      <c r="A20" s="10" t="n">
        <v>18</v>
      </c>
      <c r="B20" s="11" t="n">
        <f aca="false">ReadMe!$B$4+7*A20</f>
        <v>46440</v>
      </c>
      <c r="C20" s="10" t="s">
        <v>122</v>
      </c>
      <c r="D20" s="10" t="s">
        <v>125</v>
      </c>
      <c r="E20" s="10" t="s">
        <v>126</v>
      </c>
      <c r="F20" s="10" t="n">
        <f aca="false">COUNTIF(Problems!$B:$B,A20)</f>
        <v>12</v>
      </c>
      <c r="G20" s="10" t="n">
        <f aca="false">COUNTIFS(Problems!$B:$B,A20,Problems!$F:$F,"P1")</f>
        <v>6</v>
      </c>
      <c r="H20" s="10" t="s">
        <v>90</v>
      </c>
    </row>
    <row r="21" customFormat="false" ht="23.85" hidden="false" customHeight="false" outlineLevel="0" collapsed="false">
      <c r="A21" s="10" t="n">
        <v>19</v>
      </c>
      <c r="B21" s="11" t="n">
        <f aca="false">ReadMe!$B$4+7*A21</f>
        <v>46447</v>
      </c>
      <c r="C21" s="10" t="s">
        <v>122</v>
      </c>
      <c r="D21" s="10" t="s">
        <v>127</v>
      </c>
      <c r="E21" s="10" t="s">
        <v>128</v>
      </c>
      <c r="F21" s="10" t="n">
        <f aca="false">COUNTIF(Problems!$B:$B,A21)</f>
        <v>11</v>
      </c>
      <c r="G21" s="10" t="n">
        <f aca="false">COUNTIFS(Problems!$B:$B,A21,Problems!$F:$F,"P1")</f>
        <v>6</v>
      </c>
      <c r="H21" s="10" t="s">
        <v>90</v>
      </c>
    </row>
    <row r="22" customFormat="false" ht="23.85" hidden="false" customHeight="false" outlineLevel="0" collapsed="false">
      <c r="A22" s="10" t="n">
        <v>20</v>
      </c>
      <c r="B22" s="11" t="n">
        <f aca="false">ReadMe!$B$4+7*A22</f>
        <v>46454</v>
      </c>
      <c r="C22" s="10" t="s">
        <v>122</v>
      </c>
      <c r="D22" s="10" t="s">
        <v>129</v>
      </c>
      <c r="E22" s="10" t="s">
        <v>130</v>
      </c>
      <c r="F22" s="10" t="n">
        <f aca="false">COUNTIF(Problems!$B:$B,A22)</f>
        <v>10</v>
      </c>
      <c r="G22" s="10" t="n">
        <f aca="false">COUNTIFS(Problems!$B:$B,A22,Problems!$F:$F,"P1")</f>
        <v>3</v>
      </c>
      <c r="H22" s="10" t="s">
        <v>90</v>
      </c>
    </row>
    <row r="23" customFormat="false" ht="23.85" hidden="false" customHeight="false" outlineLevel="0" collapsed="false">
      <c r="A23" s="10" t="n">
        <v>21</v>
      </c>
      <c r="B23" s="11" t="n">
        <f aca="false">ReadMe!$B$4+7*A23</f>
        <v>46461</v>
      </c>
      <c r="C23" s="10" t="s">
        <v>122</v>
      </c>
      <c r="D23" s="10" t="s">
        <v>131</v>
      </c>
      <c r="E23" s="10" t="s">
        <v>132</v>
      </c>
      <c r="F23" s="10" t="n">
        <f aca="false">COUNTIF(Problems!$B:$B,A23)</f>
        <v>11</v>
      </c>
      <c r="G23" s="10" t="n">
        <f aca="false">COUNTIFS(Problems!$B:$B,A23,Problems!$F:$F,"P1")</f>
        <v>4</v>
      </c>
      <c r="H23" s="10" t="s">
        <v>90</v>
      </c>
    </row>
    <row r="24" customFormat="false" ht="23.85" hidden="false" customHeight="false" outlineLevel="0" collapsed="false">
      <c r="A24" s="10" t="n">
        <v>22</v>
      </c>
      <c r="B24" s="11" t="n">
        <f aca="false">ReadMe!$B$4+7*A24</f>
        <v>46468</v>
      </c>
      <c r="C24" s="10" t="s">
        <v>122</v>
      </c>
      <c r="D24" s="10" t="s">
        <v>133</v>
      </c>
      <c r="E24" s="10" t="s">
        <v>134</v>
      </c>
      <c r="F24" s="10" t="n">
        <f aca="false">COUNTIF(Problems!$B:$B,A24)</f>
        <v>11</v>
      </c>
      <c r="G24" s="10" t="n">
        <f aca="false">COUNTIFS(Problems!$B:$B,A24,Problems!$F:$F,"P1")</f>
        <v>2</v>
      </c>
      <c r="H24" s="10" t="s">
        <v>90</v>
      </c>
    </row>
    <row r="25" customFormat="false" ht="23.85" hidden="false" customHeight="false" outlineLevel="0" collapsed="false">
      <c r="A25" s="10" t="n">
        <v>23</v>
      </c>
      <c r="B25" s="11" t="n">
        <f aca="false">ReadMe!$B$4+7*A25</f>
        <v>46475</v>
      </c>
      <c r="C25" s="10" t="s">
        <v>122</v>
      </c>
      <c r="D25" s="10" t="s">
        <v>135</v>
      </c>
      <c r="E25" s="10" t="s">
        <v>136</v>
      </c>
      <c r="F25" s="10" t="n">
        <f aca="false">COUNTIF(Problems!$B:$B,A25)</f>
        <v>9</v>
      </c>
      <c r="G25" s="10" t="n">
        <f aca="false">COUNTIFS(Problems!$B:$B,A25,Problems!$F:$F,"P1")</f>
        <v>2</v>
      </c>
      <c r="H25" s="10" t="s">
        <v>90</v>
      </c>
    </row>
    <row r="26" customFormat="false" ht="23.85" hidden="false" customHeight="false" outlineLevel="0" collapsed="false">
      <c r="A26" s="12" t="n">
        <v>24</v>
      </c>
      <c r="B26" s="13" t="n">
        <f aca="false">ReadMe!$B$4+7*A26</f>
        <v>46482</v>
      </c>
      <c r="C26" s="12" t="s">
        <v>122</v>
      </c>
      <c r="D26" s="12" t="s">
        <v>137</v>
      </c>
      <c r="E26" s="12" t="s">
        <v>138</v>
      </c>
      <c r="F26" s="12" t="n">
        <f aca="false">COUNTIF(Problems!$B:$B,A26)</f>
        <v>8</v>
      </c>
      <c r="G26" s="12" t="n">
        <f aca="false">COUNTIFS(Problems!$B:$B,A26,Problems!$F:$F,"P1")</f>
        <v>2</v>
      </c>
      <c r="H26" s="12" t="s">
        <v>139</v>
      </c>
    </row>
    <row r="27" customFormat="false" ht="15" hidden="false" customHeight="false" outlineLevel="0" collapsed="false">
      <c r="A27" s="10" t="n">
        <v>25</v>
      </c>
      <c r="B27" s="11" t="n">
        <f aca="false">ReadMe!$B$4+7*A27</f>
        <v>46489</v>
      </c>
      <c r="C27" s="10" t="s">
        <v>140</v>
      </c>
      <c r="D27" s="10" t="s">
        <v>141</v>
      </c>
      <c r="E27" s="10" t="s">
        <v>142</v>
      </c>
      <c r="F27" s="10" t="n">
        <f aca="false">COUNTIF(Problems!$B:$B,A27)</f>
        <v>14</v>
      </c>
      <c r="G27" s="10" t="n">
        <f aca="false">COUNTIFS(Problems!$B:$B,A27,Problems!$F:$F,"P1")</f>
        <v>3</v>
      </c>
      <c r="H27" s="10" t="s">
        <v>90</v>
      </c>
    </row>
    <row r="28" customFormat="false" ht="15" hidden="false" customHeight="false" outlineLevel="0" collapsed="false">
      <c r="A28" s="10" t="n">
        <v>26</v>
      </c>
      <c r="B28" s="11" t="n">
        <f aca="false">ReadMe!$B$4+7*A28</f>
        <v>46496</v>
      </c>
      <c r="C28" s="10" t="s">
        <v>140</v>
      </c>
      <c r="D28" s="10" t="s">
        <v>143</v>
      </c>
      <c r="E28" s="10" t="s">
        <v>144</v>
      </c>
      <c r="F28" s="10" t="n">
        <f aca="false">COUNTIF(Problems!$B:$B,A28)</f>
        <v>9</v>
      </c>
      <c r="G28" s="10" t="n">
        <f aca="false">COUNTIFS(Problems!$B:$B,A28,Problems!$F:$F,"P1")</f>
        <v>1</v>
      </c>
      <c r="H28" s="10" t="s">
        <v>90</v>
      </c>
    </row>
    <row r="29" customFormat="false" ht="15" hidden="false" customHeight="false" outlineLevel="0" collapsed="false">
      <c r="A29" s="10" t="n">
        <v>27</v>
      </c>
      <c r="B29" s="11" t="n">
        <f aca="false">ReadMe!$B$4+7*A29</f>
        <v>46503</v>
      </c>
      <c r="C29" s="10" t="s">
        <v>140</v>
      </c>
      <c r="D29" s="10" t="s">
        <v>145</v>
      </c>
      <c r="E29" s="10" t="s">
        <v>146</v>
      </c>
      <c r="F29" s="10" t="n">
        <f aca="false">COUNTIF(Problems!$B:$B,A29)</f>
        <v>14</v>
      </c>
      <c r="G29" s="10" t="n">
        <f aca="false">COUNTIFS(Problems!$B:$B,A29,Problems!$F:$F,"P1")</f>
        <v>1</v>
      </c>
      <c r="H29" s="10" t="s">
        <v>90</v>
      </c>
    </row>
    <row r="30" customFormat="false" ht="23.85" hidden="false" customHeight="false" outlineLevel="0" collapsed="false">
      <c r="A30" s="10" t="n">
        <v>28</v>
      </c>
      <c r="B30" s="11" t="n">
        <f aca="false">ReadMe!$B$4+7*A30</f>
        <v>46510</v>
      </c>
      <c r="C30" s="10" t="s">
        <v>140</v>
      </c>
      <c r="D30" s="10" t="s">
        <v>147</v>
      </c>
      <c r="E30" s="10" t="s">
        <v>148</v>
      </c>
      <c r="F30" s="10" t="n">
        <f aca="false">COUNTIF(Problems!$B:$B,A30)</f>
        <v>9</v>
      </c>
      <c r="G30" s="10" t="n">
        <f aca="false">COUNTIFS(Problems!$B:$B,A30,Problems!$F:$F,"P1")</f>
        <v>2</v>
      </c>
      <c r="H30" s="10" t="s">
        <v>90</v>
      </c>
    </row>
    <row r="31" customFormat="false" ht="15" hidden="false" customHeight="false" outlineLevel="0" collapsed="false">
      <c r="A31" s="10" t="n">
        <v>29</v>
      </c>
      <c r="B31" s="11" t="n">
        <f aca="false">ReadMe!$B$4+7*A31</f>
        <v>46517</v>
      </c>
      <c r="C31" s="10" t="s">
        <v>140</v>
      </c>
      <c r="D31" s="10" t="s">
        <v>149</v>
      </c>
      <c r="E31" s="10" t="s">
        <v>150</v>
      </c>
      <c r="F31" s="10" t="n">
        <f aca="false">COUNTIF(Problems!$B:$B,A31)</f>
        <v>12</v>
      </c>
      <c r="G31" s="10" t="n">
        <f aca="false">COUNTIFS(Problems!$B:$B,A31,Problems!$F:$F,"P1")</f>
        <v>2</v>
      </c>
      <c r="H31" s="10" t="s">
        <v>90</v>
      </c>
    </row>
    <row r="32" customFormat="false" ht="15" hidden="false" customHeight="false" outlineLevel="0" collapsed="false">
      <c r="A32" s="12" t="n">
        <v>30</v>
      </c>
      <c r="B32" s="13" t="n">
        <f aca="false">ReadMe!$B$4+7*A32</f>
        <v>46524</v>
      </c>
      <c r="C32" s="12" t="s">
        <v>140</v>
      </c>
      <c r="D32" s="12" t="s">
        <v>151</v>
      </c>
      <c r="E32" s="12" t="s">
        <v>152</v>
      </c>
      <c r="F32" s="12" t="n">
        <f aca="false">COUNTIF(Problems!$B:$B,A32)</f>
        <v>10</v>
      </c>
      <c r="G32" s="12" t="n">
        <f aca="false">COUNTIFS(Problems!$B:$B,A32,Problems!$F:$F,"P1")</f>
        <v>1</v>
      </c>
      <c r="H32" s="12" t="s">
        <v>153</v>
      </c>
    </row>
    <row r="33" customFormat="false" ht="15" hidden="false" customHeight="false" outlineLevel="0" collapsed="false">
      <c r="A33" s="10" t="n">
        <v>31</v>
      </c>
      <c r="B33" s="11" t="n">
        <f aca="false">ReadMe!$B$4+7*A33</f>
        <v>46531</v>
      </c>
      <c r="C33" s="10" t="s">
        <v>154</v>
      </c>
      <c r="D33" s="10" t="s">
        <v>155</v>
      </c>
      <c r="E33" s="10" t="s">
        <v>156</v>
      </c>
      <c r="F33" s="10" t="n">
        <f aca="false">COUNTIF(Problems!$B:$B,A33)</f>
        <v>8</v>
      </c>
      <c r="G33" s="10" t="n">
        <f aca="false">COUNTIFS(Problems!$B:$B,A33,Problems!$F:$F,"P1")</f>
        <v>0</v>
      </c>
      <c r="H33" s="10" t="s">
        <v>90</v>
      </c>
    </row>
    <row r="34" customFormat="false" ht="15" hidden="false" customHeight="false" outlineLevel="0" collapsed="false">
      <c r="A34" s="10" t="n">
        <v>32</v>
      </c>
      <c r="B34" s="11" t="n">
        <f aca="false">ReadMe!$B$4+7*A34</f>
        <v>46538</v>
      </c>
      <c r="C34" s="10" t="s">
        <v>154</v>
      </c>
      <c r="D34" s="10" t="s">
        <v>157</v>
      </c>
      <c r="E34" s="10" t="s">
        <v>158</v>
      </c>
      <c r="F34" s="10" t="n">
        <f aca="false">COUNTIF(Problems!$B:$B,A34)</f>
        <v>11</v>
      </c>
      <c r="G34" s="10" t="n">
        <f aca="false">COUNTIFS(Problems!$B:$B,A34,Problems!$F:$F,"P1")</f>
        <v>2</v>
      </c>
      <c r="H34" s="10" t="s">
        <v>90</v>
      </c>
    </row>
    <row r="35" customFormat="false" ht="15" hidden="false" customHeight="false" outlineLevel="0" collapsed="false">
      <c r="A35" s="12" t="n">
        <v>33</v>
      </c>
      <c r="B35" s="13" t="n">
        <f aca="false">ReadMe!$B$4+7*A35</f>
        <v>46545</v>
      </c>
      <c r="C35" s="12" t="s">
        <v>154</v>
      </c>
      <c r="D35" s="12" t="s">
        <v>159</v>
      </c>
      <c r="E35" s="12" t="s">
        <v>158</v>
      </c>
      <c r="F35" s="12" t="n">
        <f aca="false">COUNTIF(Problems!$B:$B,A35)</f>
        <v>11</v>
      </c>
      <c r="G35" s="12" t="n">
        <f aca="false">COUNTIFS(Problems!$B:$B,A35,Problems!$F:$F,"P1")</f>
        <v>0</v>
      </c>
      <c r="H35" s="12" t="s">
        <v>160</v>
      </c>
    </row>
    <row r="36" customFormat="false" ht="15" hidden="false" customHeight="false" outlineLevel="0" collapsed="false">
      <c r="A36" s="10" t="n">
        <v>34</v>
      </c>
      <c r="B36" s="11" t="n">
        <f aca="false">ReadMe!$B$4+7*A36</f>
        <v>46552</v>
      </c>
      <c r="C36" s="10" t="s">
        <v>154</v>
      </c>
      <c r="D36" s="10" t="s">
        <v>161</v>
      </c>
      <c r="E36" s="10" t="s">
        <v>158</v>
      </c>
      <c r="F36" s="10" t="n">
        <f aca="false">COUNTIF(Problems!$B:$B,A36)</f>
        <v>10</v>
      </c>
      <c r="G36" s="10" t="n">
        <f aca="false">COUNTIFS(Problems!$B:$B,A36,Problems!$F:$F,"P1")</f>
        <v>1</v>
      </c>
      <c r="H36" s="10" t="s">
        <v>90</v>
      </c>
    </row>
    <row r="37" customFormat="false" ht="15" hidden="false" customHeight="false" outlineLevel="0" collapsed="false">
      <c r="A37" s="12" t="n">
        <v>35</v>
      </c>
      <c r="B37" s="13" t="n">
        <f aca="false">ReadMe!$B$4+7*A37</f>
        <v>46559</v>
      </c>
      <c r="C37" s="12" t="s">
        <v>154</v>
      </c>
      <c r="D37" s="12" t="s">
        <v>162</v>
      </c>
      <c r="E37" s="12" t="s">
        <v>163</v>
      </c>
      <c r="F37" s="12" t="n">
        <f aca="false">COUNTIF(Problems!$B:$B,A37)</f>
        <v>5</v>
      </c>
      <c r="G37" s="12" t="n">
        <f aca="false">COUNTIFS(Problems!$B:$B,A37,Problems!$F:$F,"P1")</f>
        <v>0</v>
      </c>
      <c r="H37" s="12" t="s">
        <v>164</v>
      </c>
    </row>
    <row r="38" customFormat="false" ht="23.85" hidden="false" customHeight="false" outlineLevel="0" collapsed="false">
      <c r="A38" s="12" t="n">
        <v>36</v>
      </c>
      <c r="B38" s="13" t="n">
        <f aca="false">ReadMe!$B$4+7*A38</f>
        <v>46566</v>
      </c>
      <c r="C38" s="12" t="s">
        <v>154</v>
      </c>
      <c r="D38" s="12" t="s">
        <v>165</v>
      </c>
      <c r="E38" s="12" t="s">
        <v>166</v>
      </c>
      <c r="F38" s="12" t="n">
        <f aca="false">COUNTIF(Problems!$B:$B,A38)</f>
        <v>0</v>
      </c>
      <c r="G38" s="12" t="n">
        <f aca="false">COUNTIFS(Problems!$B:$B,A38,Problems!$F:$F,"P1")</f>
        <v>0</v>
      </c>
      <c r="H38" s="12" t="s">
        <v>167</v>
      </c>
    </row>
    <row r="39" customFormat="false" ht="15" hidden="false" customHeight="false" outlineLevel="0" collapsed="false">
      <c r="A39" s="10"/>
      <c r="B39" s="10"/>
      <c r="C39" s="10"/>
      <c r="D39" s="10"/>
      <c r="E39" s="14" t="s">
        <v>168</v>
      </c>
      <c r="F39" s="14" t="n">
        <f aca="false">SUM(F2:F38)</f>
        <v>394</v>
      </c>
      <c r="G39" s="14" t="n">
        <f aca="false">SUM(G2:G38)</f>
        <v>130</v>
      </c>
      <c r="H3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5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50"/>
  </cols>
  <sheetData>
    <row r="1" customFormat="false" ht="31.5" hidden="false" customHeight="true" outlineLevel="0" collapsed="false">
      <c r="A1" s="9" t="s">
        <v>169</v>
      </c>
      <c r="B1" s="9" t="s">
        <v>72</v>
      </c>
      <c r="C1" s="9" t="s">
        <v>170</v>
      </c>
      <c r="D1" s="9" t="s">
        <v>171</v>
      </c>
      <c r="E1" s="9" t="s">
        <v>172</v>
      </c>
      <c r="F1" s="9" t="s">
        <v>173</v>
      </c>
      <c r="G1" s="9" t="s">
        <v>174</v>
      </c>
      <c r="H1" s="9" t="s">
        <v>175</v>
      </c>
      <c r="I1" s="9" t="s">
        <v>176</v>
      </c>
      <c r="J1" s="9" t="s">
        <v>177</v>
      </c>
      <c r="K1" s="9" t="s">
        <v>178</v>
      </c>
      <c r="L1" s="9" t="s">
        <v>179</v>
      </c>
    </row>
    <row r="2" customFormat="false" ht="15" hidden="false" customHeight="false" outlineLevel="0" collapsed="false">
      <c r="A2" s="15" t="n">
        <v>1</v>
      </c>
      <c r="B2" s="15" t="n">
        <v>1</v>
      </c>
      <c r="C2" s="16" t="s">
        <v>85</v>
      </c>
      <c r="D2" s="17" t="s">
        <v>180</v>
      </c>
      <c r="E2" s="15" t="s">
        <v>181</v>
      </c>
      <c r="F2" s="15" t="s">
        <v>56</v>
      </c>
      <c r="G2" s="15" t="s">
        <v>14</v>
      </c>
      <c r="H2" s="18"/>
      <c r="I2" s="15"/>
      <c r="J2" s="15" t="n">
        <v>0</v>
      </c>
      <c r="K2" s="18" t="str">
        <f aca="false">IF(J2&gt;=5,"Done",IF(H2="","",H2+CHOOSE(J2+1,1,3,7,21,60)))</f>
        <v/>
      </c>
      <c r="L2" s="16"/>
    </row>
    <row r="3" customFormat="false" ht="15" hidden="false" customHeight="false" outlineLevel="0" collapsed="false">
      <c r="A3" s="15" t="n">
        <v>2</v>
      </c>
      <c r="B3" s="15" t="n">
        <v>1</v>
      </c>
      <c r="C3" s="16" t="s">
        <v>85</v>
      </c>
      <c r="D3" s="17" t="s">
        <v>182</v>
      </c>
      <c r="E3" s="15" t="s">
        <v>181</v>
      </c>
      <c r="F3" s="15" t="s">
        <v>58</v>
      </c>
      <c r="G3" s="15" t="s">
        <v>14</v>
      </c>
      <c r="H3" s="18"/>
      <c r="I3" s="15"/>
      <c r="J3" s="15" t="n">
        <v>0</v>
      </c>
      <c r="K3" s="18" t="str">
        <f aca="false">IF(J3&gt;=5,"Done",IF(H3="","",H3+CHOOSE(J3+1,1,3,7,21,60)))</f>
        <v/>
      </c>
      <c r="L3" s="16"/>
    </row>
    <row r="4" customFormat="false" ht="15" hidden="false" customHeight="false" outlineLevel="0" collapsed="false">
      <c r="A4" s="15" t="n">
        <v>3</v>
      </c>
      <c r="B4" s="15" t="n">
        <v>1</v>
      </c>
      <c r="C4" s="16" t="s">
        <v>85</v>
      </c>
      <c r="D4" s="17" t="s">
        <v>183</v>
      </c>
      <c r="E4" s="15" t="s">
        <v>181</v>
      </c>
      <c r="F4" s="15" t="s">
        <v>58</v>
      </c>
      <c r="G4" s="15" t="s">
        <v>14</v>
      </c>
      <c r="H4" s="18"/>
      <c r="I4" s="15"/>
      <c r="J4" s="15" t="n">
        <v>0</v>
      </c>
      <c r="K4" s="18" t="str">
        <f aca="false">IF(J4&gt;=5,"Done",IF(H4="","",H4+CHOOSE(J4+1,1,3,7,21,60)))</f>
        <v/>
      </c>
      <c r="L4" s="16"/>
    </row>
    <row r="5" customFormat="false" ht="15" hidden="false" customHeight="false" outlineLevel="0" collapsed="false">
      <c r="A5" s="15" t="n">
        <v>4</v>
      </c>
      <c r="B5" s="15" t="n">
        <v>1</v>
      </c>
      <c r="C5" s="16" t="s">
        <v>85</v>
      </c>
      <c r="D5" s="17" t="s">
        <v>184</v>
      </c>
      <c r="E5" s="15" t="s">
        <v>185</v>
      </c>
      <c r="F5" s="15" t="s">
        <v>56</v>
      </c>
      <c r="G5" s="15" t="s">
        <v>14</v>
      </c>
      <c r="H5" s="18"/>
      <c r="I5" s="15"/>
      <c r="J5" s="15" t="n">
        <v>0</v>
      </c>
      <c r="K5" s="18" t="str">
        <f aca="false">IF(J5&gt;=5,"Done",IF(H5="","",H5+CHOOSE(J5+1,1,3,7,21,60)))</f>
        <v/>
      </c>
      <c r="L5" s="16"/>
    </row>
    <row r="6" customFormat="false" ht="15" hidden="false" customHeight="false" outlineLevel="0" collapsed="false">
      <c r="A6" s="15" t="n">
        <v>5</v>
      </c>
      <c r="B6" s="15" t="n">
        <v>1</v>
      </c>
      <c r="C6" s="16" t="s">
        <v>85</v>
      </c>
      <c r="D6" s="17" t="s">
        <v>186</v>
      </c>
      <c r="E6" s="15" t="s">
        <v>185</v>
      </c>
      <c r="F6" s="15" t="s">
        <v>56</v>
      </c>
      <c r="G6" s="15" t="s">
        <v>14</v>
      </c>
      <c r="H6" s="18"/>
      <c r="I6" s="15"/>
      <c r="J6" s="15" t="n">
        <v>0</v>
      </c>
      <c r="K6" s="18" t="str">
        <f aca="false">IF(J6&gt;=5,"Done",IF(H6="","",H6+CHOOSE(J6+1,1,3,7,21,60)))</f>
        <v/>
      </c>
      <c r="L6" s="16"/>
    </row>
    <row r="7" customFormat="false" ht="15" hidden="false" customHeight="false" outlineLevel="0" collapsed="false">
      <c r="A7" s="15" t="n">
        <v>6</v>
      </c>
      <c r="B7" s="15" t="n">
        <v>1</v>
      </c>
      <c r="C7" s="16" t="s">
        <v>85</v>
      </c>
      <c r="D7" s="17" t="s">
        <v>187</v>
      </c>
      <c r="E7" s="15" t="s">
        <v>185</v>
      </c>
      <c r="F7" s="15" t="s">
        <v>56</v>
      </c>
      <c r="G7" s="15" t="s">
        <v>14</v>
      </c>
      <c r="H7" s="18"/>
      <c r="I7" s="15"/>
      <c r="J7" s="15" t="n">
        <v>0</v>
      </c>
      <c r="K7" s="18" t="str">
        <f aca="false">IF(J7&gt;=5,"Done",IF(H7="","",H7+CHOOSE(J7+1,1,3,7,21,60)))</f>
        <v/>
      </c>
      <c r="L7" s="16"/>
    </row>
    <row r="8" customFormat="false" ht="15" hidden="false" customHeight="false" outlineLevel="0" collapsed="false">
      <c r="A8" s="15" t="n">
        <v>7</v>
      </c>
      <c r="B8" s="15" t="n">
        <v>1</v>
      </c>
      <c r="C8" s="16" t="s">
        <v>85</v>
      </c>
      <c r="D8" s="17" t="s">
        <v>188</v>
      </c>
      <c r="E8" s="15" t="s">
        <v>185</v>
      </c>
      <c r="F8" s="15" t="s">
        <v>56</v>
      </c>
      <c r="G8" s="15" t="s">
        <v>14</v>
      </c>
      <c r="H8" s="18"/>
      <c r="I8" s="15"/>
      <c r="J8" s="15" t="n">
        <v>0</v>
      </c>
      <c r="K8" s="18" t="str">
        <f aca="false">IF(J8&gt;=5,"Done",IF(H8="","",H8+CHOOSE(J8+1,1,3,7,21,60)))</f>
        <v/>
      </c>
      <c r="L8" s="16"/>
    </row>
    <row r="9" customFormat="false" ht="15" hidden="false" customHeight="false" outlineLevel="0" collapsed="false">
      <c r="A9" s="15" t="n">
        <v>8</v>
      </c>
      <c r="B9" s="15" t="n">
        <v>1</v>
      </c>
      <c r="C9" s="16" t="s">
        <v>85</v>
      </c>
      <c r="D9" s="17" t="s">
        <v>189</v>
      </c>
      <c r="E9" s="15" t="s">
        <v>185</v>
      </c>
      <c r="F9" s="15" t="s">
        <v>56</v>
      </c>
      <c r="G9" s="15" t="s">
        <v>14</v>
      </c>
      <c r="H9" s="18"/>
      <c r="I9" s="15"/>
      <c r="J9" s="15" t="n">
        <v>0</v>
      </c>
      <c r="K9" s="18" t="str">
        <f aca="false">IF(J9&gt;=5,"Done",IF(H9="","",H9+CHOOSE(J9+1,1,3,7,21,60)))</f>
        <v/>
      </c>
      <c r="L9" s="16"/>
    </row>
    <row r="10" customFormat="false" ht="15" hidden="false" customHeight="false" outlineLevel="0" collapsed="false">
      <c r="A10" s="15" t="n">
        <v>9</v>
      </c>
      <c r="B10" s="15" t="n">
        <v>1</v>
      </c>
      <c r="C10" s="16" t="s">
        <v>85</v>
      </c>
      <c r="D10" s="17" t="s">
        <v>190</v>
      </c>
      <c r="E10" s="15" t="s">
        <v>181</v>
      </c>
      <c r="F10" s="15" t="s">
        <v>58</v>
      </c>
      <c r="G10" s="15" t="s">
        <v>14</v>
      </c>
      <c r="H10" s="18"/>
      <c r="I10" s="15"/>
      <c r="J10" s="15" t="n">
        <v>0</v>
      </c>
      <c r="K10" s="18" t="str">
        <f aca="false">IF(J10&gt;=5,"Done",IF(H10="","",H10+CHOOSE(J10+1,1,3,7,21,60)))</f>
        <v/>
      </c>
      <c r="L10" s="16"/>
    </row>
    <row r="11" customFormat="false" ht="15" hidden="false" customHeight="false" outlineLevel="0" collapsed="false">
      <c r="A11" s="15" t="n">
        <v>10</v>
      </c>
      <c r="B11" s="15" t="n">
        <v>1</v>
      </c>
      <c r="C11" s="16" t="s">
        <v>85</v>
      </c>
      <c r="D11" s="17" t="s">
        <v>191</v>
      </c>
      <c r="E11" s="15" t="s">
        <v>185</v>
      </c>
      <c r="F11" s="15" t="s">
        <v>56</v>
      </c>
      <c r="G11" s="15" t="s">
        <v>14</v>
      </c>
      <c r="H11" s="18"/>
      <c r="I11" s="15"/>
      <c r="J11" s="15" t="n">
        <v>0</v>
      </c>
      <c r="K11" s="18" t="str">
        <f aca="false">IF(J11&gt;=5,"Done",IF(H11="","",H11+CHOOSE(J11+1,1,3,7,21,60)))</f>
        <v/>
      </c>
      <c r="L11" s="16"/>
    </row>
    <row r="12" customFormat="false" ht="15" hidden="false" customHeight="false" outlineLevel="0" collapsed="false">
      <c r="A12" s="15" t="n">
        <v>11</v>
      </c>
      <c r="B12" s="15" t="n">
        <v>1</v>
      </c>
      <c r="C12" s="16" t="s">
        <v>85</v>
      </c>
      <c r="D12" s="17" t="s">
        <v>192</v>
      </c>
      <c r="E12" s="15" t="s">
        <v>185</v>
      </c>
      <c r="F12" s="15" t="s">
        <v>58</v>
      </c>
      <c r="G12" s="15" t="s">
        <v>14</v>
      </c>
      <c r="H12" s="18"/>
      <c r="I12" s="15"/>
      <c r="J12" s="15" t="n">
        <v>0</v>
      </c>
      <c r="K12" s="18" t="str">
        <f aca="false">IF(J12&gt;=5,"Done",IF(H12="","",H12+CHOOSE(J12+1,1,3,7,21,60)))</f>
        <v/>
      </c>
      <c r="L12" s="16"/>
    </row>
    <row r="13" customFormat="false" ht="15" hidden="false" customHeight="false" outlineLevel="0" collapsed="false">
      <c r="A13" s="15" t="n">
        <v>12</v>
      </c>
      <c r="B13" s="15" t="n">
        <v>2</v>
      </c>
      <c r="C13" s="16" t="s">
        <v>88</v>
      </c>
      <c r="D13" s="17" t="s">
        <v>193</v>
      </c>
      <c r="E13" s="15" t="s">
        <v>181</v>
      </c>
      <c r="F13" s="15" t="s">
        <v>58</v>
      </c>
      <c r="G13" s="15" t="s">
        <v>14</v>
      </c>
      <c r="H13" s="18"/>
      <c r="I13" s="15"/>
      <c r="J13" s="15" t="n">
        <v>0</v>
      </c>
      <c r="K13" s="18" t="str">
        <f aca="false">IF(J13&gt;=5,"Done",IF(H13="","",H13+CHOOSE(J13+1,1,3,7,21,60)))</f>
        <v/>
      </c>
      <c r="L13" s="16"/>
    </row>
    <row r="14" customFormat="false" ht="15" hidden="false" customHeight="false" outlineLevel="0" collapsed="false">
      <c r="A14" s="15" t="n">
        <v>13</v>
      </c>
      <c r="B14" s="15" t="n">
        <v>2</v>
      </c>
      <c r="C14" s="16" t="s">
        <v>88</v>
      </c>
      <c r="D14" s="17" t="s">
        <v>194</v>
      </c>
      <c r="E14" s="15" t="s">
        <v>185</v>
      </c>
      <c r="F14" s="15" t="s">
        <v>58</v>
      </c>
      <c r="G14" s="15" t="s">
        <v>14</v>
      </c>
      <c r="H14" s="18"/>
      <c r="I14" s="15"/>
      <c r="J14" s="15" t="n">
        <v>0</v>
      </c>
      <c r="K14" s="18" t="str">
        <f aca="false">IF(J14&gt;=5,"Done",IF(H14="","",H14+CHOOSE(J14+1,1,3,7,21,60)))</f>
        <v/>
      </c>
      <c r="L14" s="16"/>
    </row>
    <row r="15" customFormat="false" ht="15" hidden="false" customHeight="false" outlineLevel="0" collapsed="false">
      <c r="A15" s="15" t="n">
        <v>14</v>
      </c>
      <c r="B15" s="15" t="n">
        <v>2</v>
      </c>
      <c r="C15" s="16" t="s">
        <v>88</v>
      </c>
      <c r="D15" s="17" t="s">
        <v>195</v>
      </c>
      <c r="E15" s="15" t="s">
        <v>185</v>
      </c>
      <c r="F15" s="15" t="s">
        <v>56</v>
      </c>
      <c r="G15" s="15" t="s">
        <v>14</v>
      </c>
      <c r="H15" s="18"/>
      <c r="I15" s="15"/>
      <c r="J15" s="15" t="n">
        <v>0</v>
      </c>
      <c r="K15" s="18" t="str">
        <f aca="false">IF(J15&gt;=5,"Done",IF(H15="","",H15+CHOOSE(J15+1,1,3,7,21,60)))</f>
        <v/>
      </c>
      <c r="L15" s="16"/>
    </row>
    <row r="16" customFormat="false" ht="15" hidden="false" customHeight="false" outlineLevel="0" collapsed="false">
      <c r="A16" s="15" t="n">
        <v>15</v>
      </c>
      <c r="B16" s="15" t="n">
        <v>2</v>
      </c>
      <c r="C16" s="16" t="s">
        <v>88</v>
      </c>
      <c r="D16" s="17" t="s">
        <v>196</v>
      </c>
      <c r="E16" s="15" t="s">
        <v>185</v>
      </c>
      <c r="F16" s="15" t="s">
        <v>56</v>
      </c>
      <c r="G16" s="15" t="s">
        <v>14</v>
      </c>
      <c r="H16" s="18"/>
      <c r="I16" s="15"/>
      <c r="J16" s="15" t="n">
        <v>0</v>
      </c>
      <c r="K16" s="18" t="str">
        <f aca="false">IF(J16&gt;=5,"Done",IF(H16="","",H16+CHOOSE(J16+1,1,3,7,21,60)))</f>
        <v/>
      </c>
      <c r="L16" s="16"/>
    </row>
    <row r="17" customFormat="false" ht="15" hidden="false" customHeight="false" outlineLevel="0" collapsed="false">
      <c r="A17" s="15" t="n">
        <v>16</v>
      </c>
      <c r="B17" s="15" t="n">
        <v>2</v>
      </c>
      <c r="C17" s="16" t="s">
        <v>88</v>
      </c>
      <c r="D17" s="17" t="s">
        <v>197</v>
      </c>
      <c r="E17" s="15" t="s">
        <v>198</v>
      </c>
      <c r="F17" s="15" t="s">
        <v>56</v>
      </c>
      <c r="G17" s="15" t="s">
        <v>14</v>
      </c>
      <c r="H17" s="18"/>
      <c r="I17" s="15"/>
      <c r="J17" s="15" t="n">
        <v>0</v>
      </c>
      <c r="K17" s="18" t="str">
        <f aca="false">IF(J17&gt;=5,"Done",IF(H17="","",H17+CHOOSE(J17+1,1,3,7,21,60)))</f>
        <v/>
      </c>
      <c r="L17" s="16"/>
    </row>
    <row r="18" customFormat="false" ht="15" hidden="false" customHeight="false" outlineLevel="0" collapsed="false">
      <c r="A18" s="15" t="n">
        <v>17</v>
      </c>
      <c r="B18" s="15" t="n">
        <v>2</v>
      </c>
      <c r="C18" s="16" t="s">
        <v>88</v>
      </c>
      <c r="D18" s="17" t="s">
        <v>199</v>
      </c>
      <c r="E18" s="15" t="s">
        <v>181</v>
      </c>
      <c r="F18" s="15" t="s">
        <v>56</v>
      </c>
      <c r="G18" s="15" t="s">
        <v>14</v>
      </c>
      <c r="H18" s="18"/>
      <c r="I18" s="15"/>
      <c r="J18" s="15" t="n">
        <v>0</v>
      </c>
      <c r="K18" s="18" t="str">
        <f aca="false">IF(J18&gt;=5,"Done",IF(H18="","",H18+CHOOSE(J18+1,1,3,7,21,60)))</f>
        <v/>
      </c>
      <c r="L18" s="16"/>
    </row>
    <row r="19" customFormat="false" ht="15" hidden="false" customHeight="false" outlineLevel="0" collapsed="false">
      <c r="A19" s="15" t="n">
        <v>18</v>
      </c>
      <c r="B19" s="15" t="n">
        <v>2</v>
      </c>
      <c r="C19" s="16" t="s">
        <v>88</v>
      </c>
      <c r="D19" s="17" t="s">
        <v>200</v>
      </c>
      <c r="E19" s="15" t="s">
        <v>185</v>
      </c>
      <c r="F19" s="15" t="s">
        <v>56</v>
      </c>
      <c r="G19" s="15" t="s">
        <v>14</v>
      </c>
      <c r="H19" s="18"/>
      <c r="I19" s="15"/>
      <c r="J19" s="15" t="n">
        <v>0</v>
      </c>
      <c r="K19" s="18" t="str">
        <f aca="false">IF(J19&gt;=5,"Done",IF(H19="","",H19+CHOOSE(J19+1,1,3,7,21,60)))</f>
        <v/>
      </c>
      <c r="L19" s="16"/>
    </row>
    <row r="20" customFormat="false" ht="15" hidden="false" customHeight="false" outlineLevel="0" collapsed="false">
      <c r="A20" s="15" t="n">
        <v>19</v>
      </c>
      <c r="B20" s="15" t="n">
        <v>2</v>
      </c>
      <c r="C20" s="16" t="s">
        <v>88</v>
      </c>
      <c r="D20" s="17" t="s">
        <v>201</v>
      </c>
      <c r="E20" s="15" t="s">
        <v>185</v>
      </c>
      <c r="F20" s="15" t="s">
        <v>58</v>
      </c>
      <c r="G20" s="15" t="s">
        <v>14</v>
      </c>
      <c r="H20" s="18"/>
      <c r="I20" s="15"/>
      <c r="J20" s="15" t="n">
        <v>0</v>
      </c>
      <c r="K20" s="18" t="str">
        <f aca="false">IF(J20&gt;=5,"Done",IF(H20="","",H20+CHOOSE(J20+1,1,3,7,21,60)))</f>
        <v/>
      </c>
      <c r="L20" s="16"/>
    </row>
    <row r="21" customFormat="false" ht="15" hidden="false" customHeight="false" outlineLevel="0" collapsed="false">
      <c r="A21" s="15" t="n">
        <v>20</v>
      </c>
      <c r="B21" s="15" t="n">
        <v>2</v>
      </c>
      <c r="C21" s="16" t="s">
        <v>88</v>
      </c>
      <c r="D21" s="17" t="s">
        <v>202</v>
      </c>
      <c r="E21" s="15" t="s">
        <v>185</v>
      </c>
      <c r="F21" s="15" t="s">
        <v>58</v>
      </c>
      <c r="G21" s="15" t="s">
        <v>14</v>
      </c>
      <c r="H21" s="18"/>
      <c r="I21" s="15"/>
      <c r="J21" s="15" t="n">
        <v>0</v>
      </c>
      <c r="K21" s="18" t="str">
        <f aca="false">IF(J21&gt;=5,"Done",IF(H21="","",H21+CHOOSE(J21+1,1,3,7,21,60)))</f>
        <v/>
      </c>
      <c r="L21" s="16"/>
    </row>
    <row r="22" customFormat="false" ht="15" hidden="false" customHeight="false" outlineLevel="0" collapsed="false">
      <c r="A22" s="15" t="n">
        <v>21</v>
      </c>
      <c r="B22" s="15" t="n">
        <v>2</v>
      </c>
      <c r="C22" s="16" t="s">
        <v>88</v>
      </c>
      <c r="D22" s="17" t="s">
        <v>203</v>
      </c>
      <c r="E22" s="15" t="s">
        <v>198</v>
      </c>
      <c r="F22" s="15" t="s">
        <v>56</v>
      </c>
      <c r="G22" s="15" t="s">
        <v>14</v>
      </c>
      <c r="H22" s="18"/>
      <c r="I22" s="15"/>
      <c r="J22" s="15" t="n">
        <v>0</v>
      </c>
      <c r="K22" s="18" t="str">
        <f aca="false">IF(J22&gt;=5,"Done",IF(H22="","",H22+CHOOSE(J22+1,1,3,7,21,60)))</f>
        <v/>
      </c>
      <c r="L22" s="16"/>
    </row>
    <row r="23" customFormat="false" ht="15" hidden="false" customHeight="false" outlineLevel="0" collapsed="false">
      <c r="A23" s="15" t="n">
        <v>22</v>
      </c>
      <c r="B23" s="15" t="n">
        <v>2</v>
      </c>
      <c r="C23" s="16" t="s">
        <v>88</v>
      </c>
      <c r="D23" s="17" t="s">
        <v>204</v>
      </c>
      <c r="E23" s="15" t="s">
        <v>198</v>
      </c>
      <c r="F23" s="15" t="s">
        <v>56</v>
      </c>
      <c r="G23" s="15" t="s">
        <v>14</v>
      </c>
      <c r="H23" s="18"/>
      <c r="I23" s="15"/>
      <c r="J23" s="15" t="n">
        <v>0</v>
      </c>
      <c r="K23" s="18" t="str">
        <f aca="false">IF(J23&gt;=5,"Done",IF(H23="","",H23+CHOOSE(J23+1,1,3,7,21,60)))</f>
        <v/>
      </c>
      <c r="L23" s="16"/>
    </row>
    <row r="24" customFormat="false" ht="15" hidden="false" customHeight="false" outlineLevel="0" collapsed="false">
      <c r="A24" s="15" t="n">
        <v>23</v>
      </c>
      <c r="B24" s="15" t="n">
        <v>3</v>
      </c>
      <c r="C24" s="16" t="s">
        <v>91</v>
      </c>
      <c r="D24" s="17" t="s">
        <v>205</v>
      </c>
      <c r="E24" s="15" t="s">
        <v>185</v>
      </c>
      <c r="F24" s="15" t="s">
        <v>58</v>
      </c>
      <c r="G24" s="15" t="s">
        <v>14</v>
      </c>
      <c r="H24" s="18"/>
      <c r="I24" s="15"/>
      <c r="J24" s="15" t="n">
        <v>0</v>
      </c>
      <c r="K24" s="18" t="str">
        <f aca="false">IF(J24&gt;=5,"Done",IF(H24="","",H24+CHOOSE(J24+1,1,3,7,21,60)))</f>
        <v/>
      </c>
      <c r="L24" s="16"/>
    </row>
    <row r="25" customFormat="false" ht="15" hidden="false" customHeight="false" outlineLevel="0" collapsed="false">
      <c r="A25" s="15" t="n">
        <v>24</v>
      </c>
      <c r="B25" s="15" t="n">
        <v>3</v>
      </c>
      <c r="C25" s="16" t="s">
        <v>91</v>
      </c>
      <c r="D25" s="17" t="s">
        <v>206</v>
      </c>
      <c r="E25" s="15" t="s">
        <v>185</v>
      </c>
      <c r="F25" s="15" t="s">
        <v>56</v>
      </c>
      <c r="G25" s="15" t="s">
        <v>14</v>
      </c>
      <c r="H25" s="18"/>
      <c r="I25" s="15"/>
      <c r="J25" s="15" t="n">
        <v>0</v>
      </c>
      <c r="K25" s="18" t="str">
        <f aca="false">IF(J25&gt;=5,"Done",IF(H25="","",H25+CHOOSE(J25+1,1,3,7,21,60)))</f>
        <v/>
      </c>
      <c r="L25" s="16"/>
    </row>
    <row r="26" customFormat="false" ht="15" hidden="false" customHeight="false" outlineLevel="0" collapsed="false">
      <c r="A26" s="15" t="n">
        <v>25</v>
      </c>
      <c r="B26" s="15" t="n">
        <v>3</v>
      </c>
      <c r="C26" s="16" t="s">
        <v>91</v>
      </c>
      <c r="D26" s="17" t="s">
        <v>207</v>
      </c>
      <c r="E26" s="15" t="s">
        <v>185</v>
      </c>
      <c r="F26" s="15" t="s">
        <v>58</v>
      </c>
      <c r="G26" s="15" t="s">
        <v>14</v>
      </c>
      <c r="H26" s="18"/>
      <c r="I26" s="15"/>
      <c r="J26" s="15" t="n">
        <v>0</v>
      </c>
      <c r="K26" s="18" t="str">
        <f aca="false">IF(J26&gt;=5,"Done",IF(H26="","",H26+CHOOSE(J26+1,1,3,7,21,60)))</f>
        <v/>
      </c>
      <c r="L26" s="16"/>
    </row>
    <row r="27" customFormat="false" ht="15" hidden="false" customHeight="false" outlineLevel="0" collapsed="false">
      <c r="A27" s="15" t="n">
        <v>26</v>
      </c>
      <c r="B27" s="15" t="n">
        <v>3</v>
      </c>
      <c r="C27" s="16" t="s">
        <v>91</v>
      </c>
      <c r="D27" s="17" t="s">
        <v>208</v>
      </c>
      <c r="E27" s="15" t="s">
        <v>185</v>
      </c>
      <c r="F27" s="15" t="s">
        <v>58</v>
      </c>
      <c r="G27" s="15" t="s">
        <v>14</v>
      </c>
      <c r="H27" s="18"/>
      <c r="I27" s="15"/>
      <c r="J27" s="15" t="n">
        <v>0</v>
      </c>
      <c r="K27" s="18" t="str">
        <f aca="false">IF(J27&gt;=5,"Done",IF(H27="","",H27+CHOOSE(J27+1,1,3,7,21,60)))</f>
        <v/>
      </c>
      <c r="L27" s="16"/>
    </row>
    <row r="28" customFormat="false" ht="15" hidden="false" customHeight="false" outlineLevel="0" collapsed="false">
      <c r="A28" s="15" t="n">
        <v>27</v>
      </c>
      <c r="B28" s="15" t="n">
        <v>3</v>
      </c>
      <c r="C28" s="16" t="s">
        <v>91</v>
      </c>
      <c r="D28" s="17" t="s">
        <v>209</v>
      </c>
      <c r="E28" s="15" t="s">
        <v>185</v>
      </c>
      <c r="F28" s="15" t="s">
        <v>56</v>
      </c>
      <c r="G28" s="15" t="s">
        <v>14</v>
      </c>
      <c r="H28" s="18"/>
      <c r="I28" s="15"/>
      <c r="J28" s="15" t="n">
        <v>0</v>
      </c>
      <c r="K28" s="18" t="str">
        <f aca="false">IF(J28&gt;=5,"Done",IF(H28="","",H28+CHOOSE(J28+1,1,3,7,21,60)))</f>
        <v/>
      </c>
      <c r="L28" s="16"/>
    </row>
    <row r="29" customFormat="false" ht="15" hidden="false" customHeight="false" outlineLevel="0" collapsed="false">
      <c r="A29" s="15" t="n">
        <v>28</v>
      </c>
      <c r="B29" s="15" t="n">
        <v>3</v>
      </c>
      <c r="C29" s="16" t="s">
        <v>91</v>
      </c>
      <c r="D29" s="17" t="s">
        <v>210</v>
      </c>
      <c r="E29" s="15" t="s">
        <v>181</v>
      </c>
      <c r="F29" s="15" t="s">
        <v>58</v>
      </c>
      <c r="G29" s="15" t="s">
        <v>14</v>
      </c>
      <c r="H29" s="18"/>
      <c r="I29" s="15"/>
      <c r="J29" s="15" t="n">
        <v>0</v>
      </c>
      <c r="K29" s="18" t="str">
        <f aca="false">IF(J29&gt;=5,"Done",IF(H29="","",H29+CHOOSE(J29+1,1,3,7,21,60)))</f>
        <v/>
      </c>
      <c r="L29" s="16"/>
    </row>
    <row r="30" customFormat="false" ht="15" hidden="false" customHeight="false" outlineLevel="0" collapsed="false">
      <c r="A30" s="15" t="n">
        <v>29</v>
      </c>
      <c r="B30" s="15" t="n">
        <v>3</v>
      </c>
      <c r="C30" s="16" t="s">
        <v>91</v>
      </c>
      <c r="D30" s="17" t="s">
        <v>211</v>
      </c>
      <c r="E30" s="15" t="s">
        <v>185</v>
      </c>
      <c r="F30" s="15" t="s">
        <v>58</v>
      </c>
      <c r="G30" s="15" t="s">
        <v>14</v>
      </c>
      <c r="H30" s="18"/>
      <c r="I30" s="15"/>
      <c r="J30" s="15" t="n">
        <v>0</v>
      </c>
      <c r="K30" s="18" t="str">
        <f aca="false">IF(J30&gt;=5,"Done",IF(H30="","",H30+CHOOSE(J30+1,1,3,7,21,60)))</f>
        <v/>
      </c>
      <c r="L30" s="16"/>
    </row>
    <row r="31" customFormat="false" ht="15" hidden="false" customHeight="false" outlineLevel="0" collapsed="false">
      <c r="A31" s="15" t="n">
        <v>30</v>
      </c>
      <c r="B31" s="15" t="n">
        <v>3</v>
      </c>
      <c r="C31" s="16" t="s">
        <v>91</v>
      </c>
      <c r="D31" s="17" t="s">
        <v>212</v>
      </c>
      <c r="E31" s="15" t="s">
        <v>185</v>
      </c>
      <c r="F31" s="15" t="s">
        <v>58</v>
      </c>
      <c r="G31" s="15" t="s">
        <v>14</v>
      </c>
      <c r="H31" s="18"/>
      <c r="I31" s="15"/>
      <c r="J31" s="15" t="n">
        <v>0</v>
      </c>
      <c r="K31" s="18" t="str">
        <f aca="false">IF(J31&gt;=5,"Done",IF(H31="","",H31+CHOOSE(J31+1,1,3,7,21,60)))</f>
        <v/>
      </c>
      <c r="L31" s="16"/>
    </row>
    <row r="32" customFormat="false" ht="15" hidden="false" customHeight="false" outlineLevel="0" collapsed="false">
      <c r="A32" s="15" t="n">
        <v>31</v>
      </c>
      <c r="B32" s="15" t="n">
        <v>3</v>
      </c>
      <c r="C32" s="16" t="s">
        <v>91</v>
      </c>
      <c r="D32" s="17" t="s">
        <v>213</v>
      </c>
      <c r="E32" s="15" t="s">
        <v>185</v>
      </c>
      <c r="F32" s="15" t="s">
        <v>56</v>
      </c>
      <c r="G32" s="15" t="s">
        <v>14</v>
      </c>
      <c r="H32" s="18"/>
      <c r="I32" s="15"/>
      <c r="J32" s="15" t="n">
        <v>0</v>
      </c>
      <c r="K32" s="18" t="str">
        <f aca="false">IF(J32&gt;=5,"Done",IF(H32="","",H32+CHOOSE(J32+1,1,3,7,21,60)))</f>
        <v/>
      </c>
      <c r="L32" s="16"/>
    </row>
    <row r="33" customFormat="false" ht="15" hidden="false" customHeight="false" outlineLevel="0" collapsed="false">
      <c r="A33" s="15" t="n">
        <v>32</v>
      </c>
      <c r="B33" s="15" t="n">
        <v>3</v>
      </c>
      <c r="C33" s="16" t="s">
        <v>91</v>
      </c>
      <c r="D33" s="17" t="s">
        <v>214</v>
      </c>
      <c r="E33" s="15" t="s">
        <v>185</v>
      </c>
      <c r="F33" s="15" t="s">
        <v>58</v>
      </c>
      <c r="G33" s="15" t="s">
        <v>14</v>
      </c>
      <c r="H33" s="18"/>
      <c r="I33" s="15"/>
      <c r="J33" s="15" t="n">
        <v>0</v>
      </c>
      <c r="K33" s="18" t="str">
        <f aca="false">IF(J33&gt;=5,"Done",IF(H33="","",H33+CHOOSE(J33+1,1,3,7,21,60)))</f>
        <v/>
      </c>
      <c r="L33" s="16"/>
    </row>
    <row r="34" customFormat="false" ht="15" hidden="false" customHeight="false" outlineLevel="0" collapsed="false">
      <c r="A34" s="15" t="n">
        <v>33</v>
      </c>
      <c r="B34" s="15" t="n">
        <v>4</v>
      </c>
      <c r="C34" s="16" t="s">
        <v>93</v>
      </c>
      <c r="D34" s="17" t="s">
        <v>215</v>
      </c>
      <c r="E34" s="15" t="s">
        <v>185</v>
      </c>
      <c r="F34" s="15" t="s">
        <v>56</v>
      </c>
      <c r="G34" s="15" t="s">
        <v>14</v>
      </c>
      <c r="H34" s="18"/>
      <c r="I34" s="15"/>
      <c r="J34" s="15" t="n">
        <v>0</v>
      </c>
      <c r="K34" s="18" t="str">
        <f aca="false">IF(J34&gt;=5,"Done",IF(H34="","",H34+CHOOSE(J34+1,1,3,7,21,60)))</f>
        <v/>
      </c>
      <c r="L34" s="16"/>
    </row>
    <row r="35" customFormat="false" ht="15" hidden="false" customHeight="false" outlineLevel="0" collapsed="false">
      <c r="A35" s="15" t="n">
        <v>34</v>
      </c>
      <c r="B35" s="15" t="n">
        <v>4</v>
      </c>
      <c r="C35" s="16" t="s">
        <v>93</v>
      </c>
      <c r="D35" s="17" t="s">
        <v>216</v>
      </c>
      <c r="E35" s="15" t="s">
        <v>185</v>
      </c>
      <c r="F35" s="15" t="s">
        <v>58</v>
      </c>
      <c r="G35" s="15" t="s">
        <v>14</v>
      </c>
      <c r="H35" s="18"/>
      <c r="I35" s="15"/>
      <c r="J35" s="15" t="n">
        <v>0</v>
      </c>
      <c r="K35" s="18" t="str">
        <f aca="false">IF(J35&gt;=5,"Done",IF(H35="","",H35+CHOOSE(J35+1,1,3,7,21,60)))</f>
        <v/>
      </c>
      <c r="L35" s="16"/>
    </row>
    <row r="36" customFormat="false" ht="15" hidden="false" customHeight="false" outlineLevel="0" collapsed="false">
      <c r="A36" s="15" t="n">
        <v>35</v>
      </c>
      <c r="B36" s="15" t="n">
        <v>4</v>
      </c>
      <c r="C36" s="16" t="s">
        <v>93</v>
      </c>
      <c r="D36" s="17" t="s">
        <v>217</v>
      </c>
      <c r="E36" s="15" t="s">
        <v>185</v>
      </c>
      <c r="F36" s="15" t="s">
        <v>56</v>
      </c>
      <c r="G36" s="15" t="s">
        <v>14</v>
      </c>
      <c r="H36" s="18"/>
      <c r="I36" s="15"/>
      <c r="J36" s="15" t="n">
        <v>0</v>
      </c>
      <c r="K36" s="18" t="str">
        <f aca="false">IF(J36&gt;=5,"Done",IF(H36="","",H36+CHOOSE(J36+1,1,3,7,21,60)))</f>
        <v/>
      </c>
      <c r="L36" s="16"/>
    </row>
    <row r="37" customFormat="false" ht="15" hidden="false" customHeight="false" outlineLevel="0" collapsed="false">
      <c r="A37" s="15" t="n">
        <v>36</v>
      </c>
      <c r="B37" s="15" t="n">
        <v>4</v>
      </c>
      <c r="C37" s="16" t="s">
        <v>93</v>
      </c>
      <c r="D37" s="17" t="s">
        <v>218</v>
      </c>
      <c r="E37" s="15" t="s">
        <v>185</v>
      </c>
      <c r="F37" s="15" t="s">
        <v>58</v>
      </c>
      <c r="G37" s="15" t="s">
        <v>14</v>
      </c>
      <c r="H37" s="18"/>
      <c r="I37" s="15"/>
      <c r="J37" s="15" t="n">
        <v>0</v>
      </c>
      <c r="K37" s="18" t="str">
        <f aca="false">IF(J37&gt;=5,"Done",IF(H37="","",H37+CHOOSE(J37+1,1,3,7,21,60)))</f>
        <v/>
      </c>
      <c r="L37" s="16"/>
    </row>
    <row r="38" customFormat="false" ht="15" hidden="false" customHeight="false" outlineLevel="0" collapsed="false">
      <c r="A38" s="15" t="n">
        <v>37</v>
      </c>
      <c r="B38" s="15" t="n">
        <v>4</v>
      </c>
      <c r="C38" s="16" t="s">
        <v>93</v>
      </c>
      <c r="D38" s="17" t="s">
        <v>219</v>
      </c>
      <c r="E38" s="15" t="s">
        <v>185</v>
      </c>
      <c r="F38" s="15" t="s">
        <v>58</v>
      </c>
      <c r="G38" s="15" t="s">
        <v>14</v>
      </c>
      <c r="H38" s="18"/>
      <c r="I38" s="15"/>
      <c r="J38" s="15" t="n">
        <v>0</v>
      </c>
      <c r="K38" s="18" t="str">
        <f aca="false">IF(J38&gt;=5,"Done",IF(H38="","",H38+CHOOSE(J38+1,1,3,7,21,60)))</f>
        <v/>
      </c>
      <c r="L38" s="16"/>
    </row>
    <row r="39" customFormat="false" ht="15" hidden="false" customHeight="false" outlineLevel="0" collapsed="false">
      <c r="A39" s="15" t="n">
        <v>38</v>
      </c>
      <c r="B39" s="15" t="n">
        <v>4</v>
      </c>
      <c r="C39" s="16" t="s">
        <v>93</v>
      </c>
      <c r="D39" s="17" t="s">
        <v>220</v>
      </c>
      <c r="E39" s="15" t="s">
        <v>185</v>
      </c>
      <c r="F39" s="15" t="s">
        <v>56</v>
      </c>
      <c r="G39" s="15" t="s">
        <v>14</v>
      </c>
      <c r="H39" s="18"/>
      <c r="I39" s="15"/>
      <c r="J39" s="15" t="n">
        <v>0</v>
      </c>
      <c r="K39" s="18" t="str">
        <f aca="false">IF(J39&gt;=5,"Done",IF(H39="","",H39+CHOOSE(J39+1,1,3,7,21,60)))</f>
        <v/>
      </c>
      <c r="L39" s="16"/>
    </row>
    <row r="40" customFormat="false" ht="15" hidden="false" customHeight="false" outlineLevel="0" collapsed="false">
      <c r="A40" s="15" t="n">
        <v>39</v>
      </c>
      <c r="B40" s="15" t="n">
        <v>4</v>
      </c>
      <c r="C40" s="16" t="s">
        <v>93</v>
      </c>
      <c r="D40" s="17" t="s">
        <v>221</v>
      </c>
      <c r="E40" s="15" t="s">
        <v>185</v>
      </c>
      <c r="F40" s="15" t="s">
        <v>56</v>
      </c>
      <c r="G40" s="15" t="s">
        <v>14</v>
      </c>
      <c r="H40" s="18"/>
      <c r="I40" s="15"/>
      <c r="J40" s="15" t="n">
        <v>0</v>
      </c>
      <c r="K40" s="18" t="str">
        <f aca="false">IF(J40&gt;=5,"Done",IF(H40="","",H40+CHOOSE(J40+1,1,3,7,21,60)))</f>
        <v/>
      </c>
      <c r="L40" s="16"/>
    </row>
    <row r="41" customFormat="false" ht="15" hidden="false" customHeight="false" outlineLevel="0" collapsed="false">
      <c r="A41" s="15" t="n">
        <v>40</v>
      </c>
      <c r="B41" s="15" t="n">
        <v>4</v>
      </c>
      <c r="C41" s="16" t="s">
        <v>93</v>
      </c>
      <c r="D41" s="17" t="s">
        <v>222</v>
      </c>
      <c r="E41" s="15" t="s">
        <v>185</v>
      </c>
      <c r="F41" s="15" t="s">
        <v>58</v>
      </c>
      <c r="G41" s="15" t="s">
        <v>14</v>
      </c>
      <c r="H41" s="18"/>
      <c r="I41" s="15"/>
      <c r="J41" s="15" t="n">
        <v>0</v>
      </c>
      <c r="K41" s="18" t="str">
        <f aca="false">IF(J41&gt;=5,"Done",IF(H41="","",H41+CHOOSE(J41+1,1,3,7,21,60)))</f>
        <v/>
      </c>
      <c r="L41" s="16"/>
    </row>
    <row r="42" customFormat="false" ht="15" hidden="false" customHeight="false" outlineLevel="0" collapsed="false">
      <c r="A42" s="15" t="n">
        <v>41</v>
      </c>
      <c r="B42" s="15" t="n">
        <v>4</v>
      </c>
      <c r="C42" s="16" t="s">
        <v>93</v>
      </c>
      <c r="D42" s="17" t="s">
        <v>223</v>
      </c>
      <c r="E42" s="15" t="s">
        <v>198</v>
      </c>
      <c r="F42" s="15" t="s">
        <v>56</v>
      </c>
      <c r="G42" s="15" t="s">
        <v>14</v>
      </c>
      <c r="H42" s="18"/>
      <c r="I42" s="15"/>
      <c r="J42" s="15" t="n">
        <v>0</v>
      </c>
      <c r="K42" s="18" t="str">
        <f aca="false">IF(J42&gt;=5,"Done",IF(H42="","",H42+CHOOSE(J42+1,1,3,7,21,60)))</f>
        <v/>
      </c>
      <c r="L42" s="16"/>
    </row>
    <row r="43" customFormat="false" ht="15" hidden="false" customHeight="false" outlineLevel="0" collapsed="false">
      <c r="A43" s="15" t="n">
        <v>42</v>
      </c>
      <c r="B43" s="15" t="n">
        <v>4</v>
      </c>
      <c r="C43" s="16" t="s">
        <v>93</v>
      </c>
      <c r="D43" s="17" t="s">
        <v>224</v>
      </c>
      <c r="E43" s="15" t="s">
        <v>185</v>
      </c>
      <c r="F43" s="15" t="s">
        <v>58</v>
      </c>
      <c r="G43" s="15" t="s">
        <v>14</v>
      </c>
      <c r="H43" s="18"/>
      <c r="I43" s="15"/>
      <c r="J43" s="15" t="n">
        <v>0</v>
      </c>
      <c r="K43" s="18" t="str">
        <f aca="false">IF(J43&gt;=5,"Done",IF(H43="","",H43+CHOOSE(J43+1,1,3,7,21,60)))</f>
        <v/>
      </c>
      <c r="L43" s="16"/>
    </row>
    <row r="44" customFormat="false" ht="15" hidden="false" customHeight="false" outlineLevel="0" collapsed="false">
      <c r="A44" s="15" t="n">
        <v>43</v>
      </c>
      <c r="B44" s="15" t="n">
        <v>5</v>
      </c>
      <c r="C44" s="16" t="s">
        <v>95</v>
      </c>
      <c r="D44" s="17" t="s">
        <v>225</v>
      </c>
      <c r="E44" s="15" t="s">
        <v>181</v>
      </c>
      <c r="F44" s="15" t="s">
        <v>56</v>
      </c>
      <c r="G44" s="15" t="s">
        <v>14</v>
      </c>
      <c r="H44" s="18"/>
      <c r="I44" s="15"/>
      <c r="J44" s="15" t="n">
        <v>0</v>
      </c>
      <c r="K44" s="18" t="str">
        <f aca="false">IF(J44&gt;=5,"Done",IF(H44="","",H44+CHOOSE(J44+1,1,3,7,21,60)))</f>
        <v/>
      </c>
      <c r="L44" s="16"/>
    </row>
    <row r="45" customFormat="false" ht="15" hidden="false" customHeight="false" outlineLevel="0" collapsed="false">
      <c r="A45" s="15" t="n">
        <v>44</v>
      </c>
      <c r="B45" s="15" t="n">
        <v>5</v>
      </c>
      <c r="C45" s="16" t="s">
        <v>95</v>
      </c>
      <c r="D45" s="17" t="s">
        <v>226</v>
      </c>
      <c r="E45" s="15" t="s">
        <v>185</v>
      </c>
      <c r="F45" s="15" t="s">
        <v>56</v>
      </c>
      <c r="G45" s="15" t="s">
        <v>14</v>
      </c>
      <c r="H45" s="18"/>
      <c r="I45" s="15"/>
      <c r="J45" s="15" t="n">
        <v>0</v>
      </c>
      <c r="K45" s="18" t="str">
        <f aca="false">IF(J45&gt;=5,"Done",IF(H45="","",H45+CHOOSE(J45+1,1,3,7,21,60)))</f>
        <v/>
      </c>
      <c r="L45" s="16"/>
    </row>
    <row r="46" customFormat="false" ht="15" hidden="false" customHeight="false" outlineLevel="0" collapsed="false">
      <c r="A46" s="15" t="n">
        <v>45</v>
      </c>
      <c r="B46" s="15" t="n">
        <v>5</v>
      </c>
      <c r="C46" s="16" t="s">
        <v>95</v>
      </c>
      <c r="D46" s="17" t="s">
        <v>227</v>
      </c>
      <c r="E46" s="15" t="s">
        <v>185</v>
      </c>
      <c r="F46" s="15" t="s">
        <v>58</v>
      </c>
      <c r="G46" s="15" t="s">
        <v>14</v>
      </c>
      <c r="H46" s="18"/>
      <c r="I46" s="15"/>
      <c r="J46" s="15" t="n">
        <v>0</v>
      </c>
      <c r="K46" s="18" t="str">
        <f aca="false">IF(J46&gt;=5,"Done",IF(H46="","",H46+CHOOSE(J46+1,1,3,7,21,60)))</f>
        <v/>
      </c>
      <c r="L46" s="16"/>
    </row>
    <row r="47" customFormat="false" ht="15" hidden="false" customHeight="false" outlineLevel="0" collapsed="false">
      <c r="A47" s="15" t="n">
        <v>46</v>
      </c>
      <c r="B47" s="15" t="n">
        <v>5</v>
      </c>
      <c r="C47" s="16" t="s">
        <v>95</v>
      </c>
      <c r="D47" s="17" t="s">
        <v>228</v>
      </c>
      <c r="E47" s="15" t="s">
        <v>185</v>
      </c>
      <c r="F47" s="15" t="s">
        <v>56</v>
      </c>
      <c r="G47" s="15" t="s">
        <v>14</v>
      </c>
      <c r="H47" s="18"/>
      <c r="I47" s="15"/>
      <c r="J47" s="15" t="n">
        <v>0</v>
      </c>
      <c r="K47" s="18" t="str">
        <f aca="false">IF(J47&gt;=5,"Done",IF(H47="","",H47+CHOOSE(J47+1,1,3,7,21,60)))</f>
        <v/>
      </c>
      <c r="L47" s="16"/>
    </row>
    <row r="48" customFormat="false" ht="15" hidden="false" customHeight="false" outlineLevel="0" collapsed="false">
      <c r="A48" s="15" t="n">
        <v>47</v>
      </c>
      <c r="B48" s="15" t="n">
        <v>5</v>
      </c>
      <c r="C48" s="16" t="s">
        <v>95</v>
      </c>
      <c r="D48" s="17" t="s">
        <v>229</v>
      </c>
      <c r="E48" s="15" t="s">
        <v>181</v>
      </c>
      <c r="F48" s="15" t="s">
        <v>58</v>
      </c>
      <c r="G48" s="15" t="s">
        <v>14</v>
      </c>
      <c r="H48" s="18"/>
      <c r="I48" s="15"/>
      <c r="J48" s="15" t="n">
        <v>0</v>
      </c>
      <c r="K48" s="18" t="str">
        <f aca="false">IF(J48&gt;=5,"Done",IF(H48="","",H48+CHOOSE(J48+1,1,3,7,21,60)))</f>
        <v/>
      </c>
      <c r="L48" s="16"/>
    </row>
    <row r="49" customFormat="false" ht="15" hidden="false" customHeight="false" outlineLevel="0" collapsed="false">
      <c r="A49" s="15" t="n">
        <v>48</v>
      </c>
      <c r="B49" s="15" t="n">
        <v>5</v>
      </c>
      <c r="C49" s="16" t="s">
        <v>95</v>
      </c>
      <c r="D49" s="17" t="s">
        <v>230</v>
      </c>
      <c r="E49" s="15" t="s">
        <v>185</v>
      </c>
      <c r="F49" s="15" t="s">
        <v>58</v>
      </c>
      <c r="G49" s="15" t="s">
        <v>14</v>
      </c>
      <c r="H49" s="18"/>
      <c r="I49" s="15"/>
      <c r="J49" s="15" t="n">
        <v>0</v>
      </c>
      <c r="K49" s="18" t="str">
        <f aca="false">IF(J49&gt;=5,"Done",IF(H49="","",H49+CHOOSE(J49+1,1,3,7,21,60)))</f>
        <v/>
      </c>
      <c r="L49" s="16"/>
    </row>
    <row r="50" customFormat="false" ht="15" hidden="false" customHeight="false" outlineLevel="0" collapsed="false">
      <c r="A50" s="15" t="n">
        <v>49</v>
      </c>
      <c r="B50" s="15" t="n">
        <v>5</v>
      </c>
      <c r="C50" s="16" t="s">
        <v>95</v>
      </c>
      <c r="D50" s="17" t="s">
        <v>231</v>
      </c>
      <c r="E50" s="15" t="s">
        <v>198</v>
      </c>
      <c r="F50" s="15" t="s">
        <v>56</v>
      </c>
      <c r="G50" s="15" t="s">
        <v>14</v>
      </c>
      <c r="H50" s="18"/>
      <c r="I50" s="15"/>
      <c r="J50" s="15" t="n">
        <v>0</v>
      </c>
      <c r="K50" s="18" t="str">
        <f aca="false">IF(J50&gt;=5,"Done",IF(H50="","",H50+CHOOSE(J50+1,1,3,7,21,60)))</f>
        <v/>
      </c>
      <c r="L50" s="16"/>
    </row>
    <row r="51" customFormat="false" ht="15" hidden="false" customHeight="false" outlineLevel="0" collapsed="false">
      <c r="A51" s="15" t="n">
        <v>50</v>
      </c>
      <c r="B51" s="15" t="n">
        <v>5</v>
      </c>
      <c r="C51" s="16" t="s">
        <v>95</v>
      </c>
      <c r="D51" s="17" t="s">
        <v>232</v>
      </c>
      <c r="E51" s="15" t="s">
        <v>185</v>
      </c>
      <c r="F51" s="15" t="s">
        <v>56</v>
      </c>
      <c r="G51" s="15" t="s">
        <v>14</v>
      </c>
      <c r="H51" s="18"/>
      <c r="I51" s="15"/>
      <c r="J51" s="15" t="n">
        <v>0</v>
      </c>
      <c r="K51" s="18" t="str">
        <f aca="false">IF(J51&gt;=5,"Done",IF(H51="","",H51+CHOOSE(J51+1,1,3,7,21,60)))</f>
        <v/>
      </c>
      <c r="L51" s="16"/>
    </row>
    <row r="52" customFormat="false" ht="15" hidden="false" customHeight="false" outlineLevel="0" collapsed="false">
      <c r="A52" s="15" t="n">
        <v>51</v>
      </c>
      <c r="B52" s="15" t="n">
        <v>5</v>
      </c>
      <c r="C52" s="16" t="s">
        <v>95</v>
      </c>
      <c r="D52" s="17" t="s">
        <v>233</v>
      </c>
      <c r="E52" s="15" t="s">
        <v>185</v>
      </c>
      <c r="F52" s="15" t="s">
        <v>58</v>
      </c>
      <c r="G52" s="15" t="s">
        <v>14</v>
      </c>
      <c r="H52" s="18"/>
      <c r="I52" s="15"/>
      <c r="J52" s="15" t="n">
        <v>0</v>
      </c>
      <c r="K52" s="18" t="str">
        <f aca="false">IF(J52&gt;=5,"Done",IF(H52="","",H52+CHOOSE(J52+1,1,3,7,21,60)))</f>
        <v/>
      </c>
      <c r="L52" s="16"/>
    </row>
    <row r="53" customFormat="false" ht="15" hidden="false" customHeight="false" outlineLevel="0" collapsed="false">
      <c r="A53" s="15" t="n">
        <v>52</v>
      </c>
      <c r="B53" s="15" t="n">
        <v>5</v>
      </c>
      <c r="C53" s="16" t="s">
        <v>95</v>
      </c>
      <c r="D53" s="17" t="s">
        <v>234</v>
      </c>
      <c r="E53" s="15" t="s">
        <v>185</v>
      </c>
      <c r="F53" s="15" t="s">
        <v>58</v>
      </c>
      <c r="G53" s="15" t="s">
        <v>14</v>
      </c>
      <c r="H53" s="18"/>
      <c r="I53" s="15"/>
      <c r="J53" s="15" t="n">
        <v>0</v>
      </c>
      <c r="K53" s="18" t="str">
        <f aca="false">IF(J53&gt;=5,"Done",IF(H53="","",H53+CHOOSE(J53+1,1,3,7,21,60)))</f>
        <v/>
      </c>
      <c r="L53" s="16"/>
    </row>
    <row r="54" customFormat="false" ht="15" hidden="false" customHeight="false" outlineLevel="0" collapsed="false">
      <c r="A54" s="15" t="n">
        <v>53</v>
      </c>
      <c r="B54" s="15" t="n">
        <v>5</v>
      </c>
      <c r="C54" s="16" t="s">
        <v>95</v>
      </c>
      <c r="D54" s="17" t="s">
        <v>235</v>
      </c>
      <c r="E54" s="15" t="s">
        <v>185</v>
      </c>
      <c r="F54" s="15" t="s">
        <v>56</v>
      </c>
      <c r="G54" s="15" t="s">
        <v>14</v>
      </c>
      <c r="H54" s="18"/>
      <c r="I54" s="15"/>
      <c r="J54" s="15" t="n">
        <v>0</v>
      </c>
      <c r="K54" s="18" t="str">
        <f aca="false">IF(J54&gt;=5,"Done",IF(H54="","",H54+CHOOSE(J54+1,1,3,7,21,60)))</f>
        <v/>
      </c>
      <c r="L54" s="16"/>
    </row>
    <row r="55" customFormat="false" ht="15" hidden="false" customHeight="false" outlineLevel="0" collapsed="false">
      <c r="A55" s="15" t="n">
        <v>54</v>
      </c>
      <c r="B55" s="15" t="n">
        <v>5</v>
      </c>
      <c r="C55" s="16" t="s">
        <v>95</v>
      </c>
      <c r="D55" s="17" t="s">
        <v>236</v>
      </c>
      <c r="E55" s="15" t="s">
        <v>185</v>
      </c>
      <c r="F55" s="15" t="s">
        <v>58</v>
      </c>
      <c r="G55" s="15" t="s">
        <v>14</v>
      </c>
      <c r="H55" s="18"/>
      <c r="I55" s="15"/>
      <c r="J55" s="15" t="n">
        <v>0</v>
      </c>
      <c r="K55" s="18" t="str">
        <f aca="false">IF(J55&gt;=5,"Done",IF(H55="","",H55+CHOOSE(J55+1,1,3,7,21,60)))</f>
        <v/>
      </c>
      <c r="L55" s="16"/>
    </row>
    <row r="56" customFormat="false" ht="15" hidden="false" customHeight="false" outlineLevel="0" collapsed="false">
      <c r="A56" s="15" t="n">
        <v>55</v>
      </c>
      <c r="B56" s="15" t="n">
        <v>5</v>
      </c>
      <c r="C56" s="16" t="s">
        <v>95</v>
      </c>
      <c r="D56" s="17" t="s">
        <v>237</v>
      </c>
      <c r="E56" s="15" t="s">
        <v>185</v>
      </c>
      <c r="F56" s="15" t="s">
        <v>58</v>
      </c>
      <c r="G56" s="15" t="s">
        <v>14</v>
      </c>
      <c r="H56" s="18"/>
      <c r="I56" s="15"/>
      <c r="J56" s="15" t="n">
        <v>0</v>
      </c>
      <c r="K56" s="18" t="str">
        <f aca="false">IF(J56&gt;=5,"Done",IF(H56="","",H56+CHOOSE(J56+1,1,3,7,21,60)))</f>
        <v/>
      </c>
      <c r="L56" s="16"/>
    </row>
    <row r="57" customFormat="false" ht="15" hidden="false" customHeight="false" outlineLevel="0" collapsed="false">
      <c r="A57" s="15" t="n">
        <v>56</v>
      </c>
      <c r="B57" s="15" t="n">
        <v>6</v>
      </c>
      <c r="C57" s="16" t="s">
        <v>97</v>
      </c>
      <c r="D57" s="17" t="s">
        <v>97</v>
      </c>
      <c r="E57" s="15" t="s">
        <v>181</v>
      </c>
      <c r="F57" s="15" t="s">
        <v>58</v>
      </c>
      <c r="G57" s="15" t="s">
        <v>14</v>
      </c>
      <c r="H57" s="18"/>
      <c r="I57" s="15"/>
      <c r="J57" s="15" t="n">
        <v>0</v>
      </c>
      <c r="K57" s="18" t="str">
        <f aca="false">IF(J57&gt;=5,"Done",IF(H57="","",H57+CHOOSE(J57+1,1,3,7,21,60)))</f>
        <v/>
      </c>
      <c r="L57" s="16"/>
    </row>
    <row r="58" customFormat="false" ht="15" hidden="false" customHeight="false" outlineLevel="0" collapsed="false">
      <c r="A58" s="15" t="n">
        <v>57</v>
      </c>
      <c r="B58" s="15" t="n">
        <v>6</v>
      </c>
      <c r="C58" s="16" t="s">
        <v>97</v>
      </c>
      <c r="D58" s="17" t="s">
        <v>238</v>
      </c>
      <c r="E58" s="15" t="s">
        <v>181</v>
      </c>
      <c r="F58" s="15" t="s">
        <v>58</v>
      </c>
      <c r="G58" s="15" t="s">
        <v>14</v>
      </c>
      <c r="H58" s="18"/>
      <c r="I58" s="15"/>
      <c r="J58" s="15" t="n">
        <v>0</v>
      </c>
      <c r="K58" s="18" t="str">
        <f aca="false">IF(J58&gt;=5,"Done",IF(H58="","",H58+CHOOSE(J58+1,1,3,7,21,60)))</f>
        <v/>
      </c>
      <c r="L58" s="16"/>
    </row>
    <row r="59" customFormat="false" ht="15" hidden="false" customHeight="false" outlineLevel="0" collapsed="false">
      <c r="A59" s="15" t="n">
        <v>58</v>
      </c>
      <c r="B59" s="15" t="n">
        <v>6</v>
      </c>
      <c r="C59" s="16" t="s">
        <v>97</v>
      </c>
      <c r="D59" s="17" t="s">
        <v>239</v>
      </c>
      <c r="E59" s="15" t="s">
        <v>185</v>
      </c>
      <c r="F59" s="15" t="s">
        <v>58</v>
      </c>
      <c r="G59" s="15" t="s">
        <v>14</v>
      </c>
      <c r="H59" s="18"/>
      <c r="I59" s="15"/>
      <c r="J59" s="15" t="n">
        <v>0</v>
      </c>
      <c r="K59" s="18" t="str">
        <f aca="false">IF(J59&gt;=5,"Done",IF(H59="","",H59+CHOOSE(J59+1,1,3,7,21,60)))</f>
        <v/>
      </c>
      <c r="L59" s="16"/>
    </row>
    <row r="60" customFormat="false" ht="15" hidden="false" customHeight="false" outlineLevel="0" collapsed="false">
      <c r="A60" s="15" t="n">
        <v>59</v>
      </c>
      <c r="B60" s="15" t="n">
        <v>6</v>
      </c>
      <c r="C60" s="16" t="s">
        <v>97</v>
      </c>
      <c r="D60" s="17" t="s">
        <v>240</v>
      </c>
      <c r="E60" s="15" t="s">
        <v>185</v>
      </c>
      <c r="F60" s="15" t="s">
        <v>56</v>
      </c>
      <c r="G60" s="15" t="s">
        <v>14</v>
      </c>
      <c r="H60" s="18"/>
      <c r="I60" s="15"/>
      <c r="J60" s="15" t="n">
        <v>0</v>
      </c>
      <c r="K60" s="18" t="str">
        <f aca="false">IF(J60&gt;=5,"Done",IF(H60="","",H60+CHOOSE(J60+1,1,3,7,21,60)))</f>
        <v/>
      </c>
      <c r="L60" s="16"/>
    </row>
    <row r="61" customFormat="false" ht="15" hidden="false" customHeight="false" outlineLevel="0" collapsed="false">
      <c r="A61" s="15" t="n">
        <v>60</v>
      </c>
      <c r="B61" s="15" t="n">
        <v>6</v>
      </c>
      <c r="C61" s="16" t="s">
        <v>97</v>
      </c>
      <c r="D61" s="17" t="s">
        <v>241</v>
      </c>
      <c r="E61" s="15" t="s">
        <v>185</v>
      </c>
      <c r="F61" s="15" t="s">
        <v>56</v>
      </c>
      <c r="G61" s="15" t="s">
        <v>14</v>
      </c>
      <c r="H61" s="18"/>
      <c r="I61" s="15"/>
      <c r="J61" s="15" t="n">
        <v>0</v>
      </c>
      <c r="K61" s="18" t="str">
        <f aca="false">IF(J61&gt;=5,"Done",IF(H61="","",H61+CHOOSE(J61+1,1,3,7,21,60)))</f>
        <v/>
      </c>
      <c r="L61" s="16"/>
    </row>
    <row r="62" customFormat="false" ht="15" hidden="false" customHeight="false" outlineLevel="0" collapsed="false">
      <c r="A62" s="15" t="n">
        <v>61</v>
      </c>
      <c r="B62" s="15" t="n">
        <v>6</v>
      </c>
      <c r="C62" s="16" t="s">
        <v>97</v>
      </c>
      <c r="D62" s="17" t="s">
        <v>242</v>
      </c>
      <c r="E62" s="15" t="s">
        <v>185</v>
      </c>
      <c r="F62" s="15" t="s">
        <v>56</v>
      </c>
      <c r="G62" s="15" t="s">
        <v>14</v>
      </c>
      <c r="H62" s="18"/>
      <c r="I62" s="15"/>
      <c r="J62" s="15" t="n">
        <v>0</v>
      </c>
      <c r="K62" s="18" t="str">
        <f aca="false">IF(J62&gt;=5,"Done",IF(H62="","",H62+CHOOSE(J62+1,1,3,7,21,60)))</f>
        <v/>
      </c>
      <c r="L62" s="16"/>
    </row>
    <row r="63" customFormat="false" ht="15" hidden="false" customHeight="false" outlineLevel="0" collapsed="false">
      <c r="A63" s="15" t="n">
        <v>62</v>
      </c>
      <c r="B63" s="15" t="n">
        <v>6</v>
      </c>
      <c r="C63" s="16" t="s">
        <v>97</v>
      </c>
      <c r="D63" s="17" t="s">
        <v>243</v>
      </c>
      <c r="E63" s="15" t="s">
        <v>185</v>
      </c>
      <c r="F63" s="15" t="s">
        <v>56</v>
      </c>
      <c r="G63" s="15" t="s">
        <v>14</v>
      </c>
      <c r="H63" s="18"/>
      <c r="I63" s="15"/>
      <c r="J63" s="15" t="n">
        <v>0</v>
      </c>
      <c r="K63" s="18" t="str">
        <f aca="false">IF(J63&gt;=5,"Done",IF(H63="","",H63+CHOOSE(J63+1,1,3,7,21,60)))</f>
        <v/>
      </c>
      <c r="L63" s="16"/>
    </row>
    <row r="64" customFormat="false" ht="15" hidden="false" customHeight="false" outlineLevel="0" collapsed="false">
      <c r="A64" s="15" t="n">
        <v>63</v>
      </c>
      <c r="B64" s="15" t="n">
        <v>6</v>
      </c>
      <c r="C64" s="16" t="s">
        <v>97</v>
      </c>
      <c r="D64" s="17" t="s">
        <v>244</v>
      </c>
      <c r="E64" s="15" t="s">
        <v>185</v>
      </c>
      <c r="F64" s="15" t="s">
        <v>56</v>
      </c>
      <c r="G64" s="15" t="s">
        <v>14</v>
      </c>
      <c r="H64" s="18"/>
      <c r="I64" s="15"/>
      <c r="J64" s="15" t="n">
        <v>0</v>
      </c>
      <c r="K64" s="18" t="str">
        <f aca="false">IF(J64&gt;=5,"Done",IF(H64="","",H64+CHOOSE(J64+1,1,3,7,21,60)))</f>
        <v/>
      </c>
      <c r="L64" s="16"/>
    </row>
    <row r="65" customFormat="false" ht="15" hidden="false" customHeight="false" outlineLevel="0" collapsed="false">
      <c r="A65" s="15" t="n">
        <v>64</v>
      </c>
      <c r="B65" s="15" t="n">
        <v>6</v>
      </c>
      <c r="C65" s="16" t="s">
        <v>97</v>
      </c>
      <c r="D65" s="17" t="s">
        <v>245</v>
      </c>
      <c r="E65" s="15" t="s">
        <v>198</v>
      </c>
      <c r="F65" s="15" t="s">
        <v>56</v>
      </c>
      <c r="G65" s="15" t="s">
        <v>14</v>
      </c>
      <c r="H65" s="18"/>
      <c r="I65" s="15"/>
      <c r="J65" s="15" t="n">
        <v>0</v>
      </c>
      <c r="K65" s="18" t="str">
        <f aca="false">IF(J65&gt;=5,"Done",IF(H65="","",H65+CHOOSE(J65+1,1,3,7,21,60)))</f>
        <v/>
      </c>
      <c r="L65" s="16"/>
    </row>
    <row r="66" customFormat="false" ht="15" hidden="false" customHeight="false" outlineLevel="0" collapsed="false">
      <c r="A66" s="15" t="n">
        <v>65</v>
      </c>
      <c r="B66" s="15" t="n">
        <v>6</v>
      </c>
      <c r="C66" s="16" t="s">
        <v>97</v>
      </c>
      <c r="D66" s="17" t="s">
        <v>246</v>
      </c>
      <c r="E66" s="15" t="s">
        <v>185</v>
      </c>
      <c r="F66" s="15" t="s">
        <v>58</v>
      </c>
      <c r="G66" s="15" t="s">
        <v>14</v>
      </c>
      <c r="H66" s="18"/>
      <c r="I66" s="15"/>
      <c r="J66" s="15" t="n">
        <v>0</v>
      </c>
      <c r="K66" s="18" t="str">
        <f aca="false">IF(J66&gt;=5,"Done",IF(H66="","",H66+CHOOSE(J66+1,1,3,7,21,60)))</f>
        <v/>
      </c>
      <c r="L66" s="16"/>
    </row>
    <row r="67" customFormat="false" ht="15" hidden="false" customHeight="false" outlineLevel="0" collapsed="false">
      <c r="A67" s="15" t="n">
        <v>66</v>
      </c>
      <c r="B67" s="15" t="n">
        <v>6</v>
      </c>
      <c r="C67" s="16" t="s">
        <v>97</v>
      </c>
      <c r="D67" s="17" t="s">
        <v>247</v>
      </c>
      <c r="E67" s="15" t="s">
        <v>185</v>
      </c>
      <c r="F67" s="15" t="s">
        <v>58</v>
      </c>
      <c r="G67" s="15" t="s">
        <v>14</v>
      </c>
      <c r="H67" s="18"/>
      <c r="I67" s="15"/>
      <c r="J67" s="15" t="n">
        <v>0</v>
      </c>
      <c r="K67" s="18" t="str">
        <f aca="false">IF(J67&gt;=5,"Done",IF(H67="","",H67+CHOOSE(J67+1,1,3,7,21,60)))</f>
        <v/>
      </c>
      <c r="L67" s="16"/>
    </row>
    <row r="68" customFormat="false" ht="15" hidden="false" customHeight="false" outlineLevel="0" collapsed="false">
      <c r="A68" s="15" t="n">
        <v>67</v>
      </c>
      <c r="B68" s="15" t="n">
        <v>6</v>
      </c>
      <c r="C68" s="16" t="s">
        <v>97</v>
      </c>
      <c r="D68" s="17" t="s">
        <v>248</v>
      </c>
      <c r="E68" s="15" t="s">
        <v>198</v>
      </c>
      <c r="F68" s="15" t="s">
        <v>56</v>
      </c>
      <c r="G68" s="15" t="s">
        <v>14</v>
      </c>
      <c r="H68" s="18"/>
      <c r="I68" s="15"/>
      <c r="J68" s="15" t="n">
        <v>0</v>
      </c>
      <c r="K68" s="18" t="str">
        <f aca="false">IF(J68&gt;=5,"Done",IF(H68="","",H68+CHOOSE(J68+1,1,3,7,21,60)))</f>
        <v/>
      </c>
      <c r="L68" s="16"/>
    </row>
    <row r="69" customFormat="false" ht="15" hidden="false" customHeight="false" outlineLevel="0" collapsed="false">
      <c r="A69" s="15" t="n">
        <v>68</v>
      </c>
      <c r="B69" s="15" t="n">
        <v>6</v>
      </c>
      <c r="C69" s="16" t="s">
        <v>97</v>
      </c>
      <c r="D69" s="17" t="s">
        <v>249</v>
      </c>
      <c r="E69" s="15" t="s">
        <v>185</v>
      </c>
      <c r="F69" s="15" t="s">
        <v>58</v>
      </c>
      <c r="G69" s="15" t="s">
        <v>14</v>
      </c>
      <c r="H69" s="18"/>
      <c r="I69" s="15"/>
      <c r="J69" s="15" t="n">
        <v>0</v>
      </c>
      <c r="K69" s="18" t="str">
        <f aca="false">IF(J69&gt;=5,"Done",IF(H69="","",H69+CHOOSE(J69+1,1,3,7,21,60)))</f>
        <v/>
      </c>
      <c r="L69" s="16"/>
    </row>
    <row r="70" customFormat="false" ht="15" hidden="false" customHeight="false" outlineLevel="0" collapsed="false">
      <c r="A70" s="15" t="n">
        <v>69</v>
      </c>
      <c r="B70" s="15" t="n">
        <v>6</v>
      </c>
      <c r="C70" s="16" t="s">
        <v>97</v>
      </c>
      <c r="D70" s="17" t="s">
        <v>250</v>
      </c>
      <c r="E70" s="15" t="s">
        <v>185</v>
      </c>
      <c r="F70" s="15" t="s">
        <v>58</v>
      </c>
      <c r="G70" s="15" t="s">
        <v>14</v>
      </c>
      <c r="H70" s="18"/>
      <c r="I70" s="15"/>
      <c r="J70" s="15" t="n">
        <v>0</v>
      </c>
      <c r="K70" s="18" t="str">
        <f aca="false">IF(J70&gt;=5,"Done",IF(H70="","",H70+CHOOSE(J70+1,1,3,7,21,60)))</f>
        <v/>
      </c>
      <c r="L70" s="16"/>
    </row>
    <row r="71" customFormat="false" ht="15" hidden="false" customHeight="false" outlineLevel="0" collapsed="false">
      <c r="A71" s="15" t="n">
        <v>70</v>
      </c>
      <c r="B71" s="15" t="n">
        <v>6</v>
      </c>
      <c r="C71" s="16" t="s">
        <v>97</v>
      </c>
      <c r="D71" s="17" t="s">
        <v>251</v>
      </c>
      <c r="E71" s="15" t="s">
        <v>185</v>
      </c>
      <c r="F71" s="15" t="s">
        <v>58</v>
      </c>
      <c r="G71" s="15" t="s">
        <v>14</v>
      </c>
      <c r="H71" s="18"/>
      <c r="I71" s="15"/>
      <c r="J71" s="15" t="n">
        <v>0</v>
      </c>
      <c r="K71" s="18" t="str">
        <f aca="false">IF(J71&gt;=5,"Done",IF(H71="","",H71+CHOOSE(J71+1,1,3,7,21,60)))</f>
        <v/>
      </c>
      <c r="L71" s="16"/>
    </row>
    <row r="72" customFormat="false" ht="15" hidden="false" customHeight="false" outlineLevel="0" collapsed="false">
      <c r="A72" s="15" t="n">
        <v>71</v>
      </c>
      <c r="B72" s="15" t="n">
        <v>7</v>
      </c>
      <c r="C72" s="16" t="s">
        <v>99</v>
      </c>
      <c r="D72" s="17" t="s">
        <v>252</v>
      </c>
      <c r="E72" s="15" t="s">
        <v>181</v>
      </c>
      <c r="F72" s="15" t="s">
        <v>56</v>
      </c>
      <c r="G72" s="15" t="s">
        <v>14</v>
      </c>
      <c r="H72" s="18"/>
      <c r="I72" s="15"/>
      <c r="J72" s="15" t="n">
        <v>0</v>
      </c>
      <c r="K72" s="18" t="str">
        <f aca="false">IF(J72&gt;=5,"Done",IF(H72="","",H72+CHOOSE(J72+1,1,3,7,21,60)))</f>
        <v/>
      </c>
      <c r="L72" s="16"/>
    </row>
    <row r="73" customFormat="false" ht="15" hidden="false" customHeight="false" outlineLevel="0" collapsed="false">
      <c r="A73" s="15" t="n">
        <v>72</v>
      </c>
      <c r="B73" s="15" t="n">
        <v>7</v>
      </c>
      <c r="C73" s="16" t="s">
        <v>99</v>
      </c>
      <c r="D73" s="17" t="s">
        <v>253</v>
      </c>
      <c r="E73" s="15" t="s">
        <v>181</v>
      </c>
      <c r="F73" s="15" t="s">
        <v>56</v>
      </c>
      <c r="G73" s="15" t="s">
        <v>14</v>
      </c>
      <c r="H73" s="18"/>
      <c r="I73" s="15"/>
      <c r="J73" s="15" t="n">
        <v>0</v>
      </c>
      <c r="K73" s="18" t="str">
        <f aca="false">IF(J73&gt;=5,"Done",IF(H73="","",H73+CHOOSE(J73+1,1,3,7,21,60)))</f>
        <v/>
      </c>
      <c r="L73" s="16"/>
    </row>
    <row r="74" customFormat="false" ht="15" hidden="false" customHeight="false" outlineLevel="0" collapsed="false">
      <c r="A74" s="15" t="n">
        <v>73</v>
      </c>
      <c r="B74" s="15" t="n">
        <v>7</v>
      </c>
      <c r="C74" s="16" t="s">
        <v>99</v>
      </c>
      <c r="D74" s="17" t="s">
        <v>254</v>
      </c>
      <c r="E74" s="15" t="s">
        <v>181</v>
      </c>
      <c r="F74" s="15" t="s">
        <v>58</v>
      </c>
      <c r="G74" s="15" t="s">
        <v>14</v>
      </c>
      <c r="H74" s="18"/>
      <c r="I74" s="15"/>
      <c r="J74" s="15" t="n">
        <v>0</v>
      </c>
      <c r="K74" s="18" t="str">
        <f aca="false">IF(J74&gt;=5,"Done",IF(H74="","",H74+CHOOSE(J74+1,1,3,7,21,60)))</f>
        <v/>
      </c>
      <c r="L74" s="16"/>
    </row>
    <row r="75" customFormat="false" ht="15" hidden="false" customHeight="false" outlineLevel="0" collapsed="false">
      <c r="A75" s="15" t="n">
        <v>74</v>
      </c>
      <c r="B75" s="15" t="n">
        <v>7</v>
      </c>
      <c r="C75" s="16" t="s">
        <v>99</v>
      </c>
      <c r="D75" s="17" t="s">
        <v>255</v>
      </c>
      <c r="E75" s="15" t="s">
        <v>185</v>
      </c>
      <c r="F75" s="15" t="s">
        <v>56</v>
      </c>
      <c r="G75" s="15" t="s">
        <v>14</v>
      </c>
      <c r="H75" s="18"/>
      <c r="I75" s="15"/>
      <c r="J75" s="15" t="n">
        <v>0</v>
      </c>
      <c r="K75" s="18" t="str">
        <f aca="false">IF(J75&gt;=5,"Done",IF(H75="","",H75+CHOOSE(J75+1,1,3,7,21,60)))</f>
        <v/>
      </c>
      <c r="L75" s="16"/>
    </row>
    <row r="76" customFormat="false" ht="15" hidden="false" customHeight="false" outlineLevel="0" collapsed="false">
      <c r="A76" s="15" t="n">
        <v>75</v>
      </c>
      <c r="B76" s="15" t="n">
        <v>7</v>
      </c>
      <c r="C76" s="16" t="s">
        <v>99</v>
      </c>
      <c r="D76" s="17" t="s">
        <v>256</v>
      </c>
      <c r="E76" s="15" t="s">
        <v>181</v>
      </c>
      <c r="F76" s="15" t="s">
        <v>58</v>
      </c>
      <c r="G76" s="15" t="s">
        <v>14</v>
      </c>
      <c r="H76" s="18"/>
      <c r="I76" s="15"/>
      <c r="J76" s="15" t="n">
        <v>0</v>
      </c>
      <c r="K76" s="18" t="str">
        <f aca="false">IF(J76&gt;=5,"Done",IF(H76="","",H76+CHOOSE(J76+1,1,3,7,21,60)))</f>
        <v/>
      </c>
      <c r="L76" s="16"/>
    </row>
    <row r="77" customFormat="false" ht="15" hidden="false" customHeight="false" outlineLevel="0" collapsed="false">
      <c r="A77" s="15" t="n">
        <v>76</v>
      </c>
      <c r="B77" s="15" t="n">
        <v>7</v>
      </c>
      <c r="C77" s="16" t="s">
        <v>99</v>
      </c>
      <c r="D77" s="17" t="s">
        <v>257</v>
      </c>
      <c r="E77" s="15" t="s">
        <v>181</v>
      </c>
      <c r="F77" s="15" t="s">
        <v>58</v>
      </c>
      <c r="G77" s="15" t="s">
        <v>14</v>
      </c>
      <c r="H77" s="18"/>
      <c r="I77" s="15"/>
      <c r="J77" s="15" t="n">
        <v>0</v>
      </c>
      <c r="K77" s="18" t="str">
        <f aca="false">IF(J77&gt;=5,"Done",IF(H77="","",H77+CHOOSE(J77+1,1,3,7,21,60)))</f>
        <v/>
      </c>
      <c r="L77" s="16"/>
    </row>
    <row r="78" customFormat="false" ht="15" hidden="false" customHeight="false" outlineLevel="0" collapsed="false">
      <c r="A78" s="15" t="n">
        <v>77</v>
      </c>
      <c r="B78" s="15" t="n">
        <v>7</v>
      </c>
      <c r="C78" s="16" t="s">
        <v>99</v>
      </c>
      <c r="D78" s="17" t="s">
        <v>258</v>
      </c>
      <c r="E78" s="15" t="s">
        <v>185</v>
      </c>
      <c r="F78" s="15" t="s">
        <v>56</v>
      </c>
      <c r="G78" s="15" t="s">
        <v>14</v>
      </c>
      <c r="H78" s="18"/>
      <c r="I78" s="15"/>
      <c r="J78" s="15" t="n">
        <v>0</v>
      </c>
      <c r="K78" s="18" t="str">
        <f aca="false">IF(J78&gt;=5,"Done",IF(H78="","",H78+CHOOSE(J78+1,1,3,7,21,60)))</f>
        <v/>
      </c>
      <c r="L78" s="16"/>
    </row>
    <row r="79" customFormat="false" ht="15" hidden="false" customHeight="false" outlineLevel="0" collapsed="false">
      <c r="A79" s="15" t="n">
        <v>78</v>
      </c>
      <c r="B79" s="15" t="n">
        <v>7</v>
      </c>
      <c r="C79" s="16" t="s">
        <v>99</v>
      </c>
      <c r="D79" s="17" t="s">
        <v>259</v>
      </c>
      <c r="E79" s="15" t="s">
        <v>185</v>
      </c>
      <c r="F79" s="15" t="s">
        <v>56</v>
      </c>
      <c r="G79" s="15" t="s">
        <v>14</v>
      </c>
      <c r="H79" s="18"/>
      <c r="I79" s="15"/>
      <c r="J79" s="15" t="n">
        <v>0</v>
      </c>
      <c r="K79" s="18" t="str">
        <f aca="false">IF(J79&gt;=5,"Done",IF(H79="","",H79+CHOOSE(J79+1,1,3,7,21,60)))</f>
        <v/>
      </c>
      <c r="L79" s="16"/>
    </row>
    <row r="80" customFormat="false" ht="15" hidden="false" customHeight="false" outlineLevel="0" collapsed="false">
      <c r="A80" s="15" t="n">
        <v>79</v>
      </c>
      <c r="B80" s="15" t="n">
        <v>7</v>
      </c>
      <c r="C80" s="16" t="s">
        <v>99</v>
      </c>
      <c r="D80" s="17" t="s">
        <v>260</v>
      </c>
      <c r="E80" s="15" t="s">
        <v>185</v>
      </c>
      <c r="F80" s="15" t="s">
        <v>58</v>
      </c>
      <c r="G80" s="15" t="s">
        <v>14</v>
      </c>
      <c r="H80" s="18"/>
      <c r="I80" s="15"/>
      <c r="J80" s="15" t="n">
        <v>0</v>
      </c>
      <c r="K80" s="18" t="str">
        <f aca="false">IF(J80&gt;=5,"Done",IF(H80="","",H80+CHOOSE(J80+1,1,3,7,21,60)))</f>
        <v/>
      </c>
      <c r="L80" s="16"/>
    </row>
    <row r="81" customFormat="false" ht="15" hidden="false" customHeight="false" outlineLevel="0" collapsed="false">
      <c r="A81" s="15" t="n">
        <v>80</v>
      </c>
      <c r="B81" s="15" t="n">
        <v>7</v>
      </c>
      <c r="C81" s="16" t="s">
        <v>99</v>
      </c>
      <c r="D81" s="17" t="s">
        <v>261</v>
      </c>
      <c r="E81" s="15" t="s">
        <v>181</v>
      </c>
      <c r="F81" s="15" t="s">
        <v>58</v>
      </c>
      <c r="G81" s="15" t="s">
        <v>14</v>
      </c>
      <c r="H81" s="18"/>
      <c r="I81" s="15"/>
      <c r="J81" s="15" t="n">
        <v>0</v>
      </c>
      <c r="K81" s="18" t="str">
        <f aca="false">IF(J81&gt;=5,"Done",IF(H81="","",H81+CHOOSE(J81+1,1,3,7,21,60)))</f>
        <v/>
      </c>
      <c r="L81" s="16"/>
    </row>
    <row r="82" customFormat="false" ht="15" hidden="false" customHeight="false" outlineLevel="0" collapsed="false">
      <c r="A82" s="15" t="n">
        <v>81</v>
      </c>
      <c r="B82" s="15" t="n">
        <v>7</v>
      </c>
      <c r="C82" s="16" t="s">
        <v>99</v>
      </c>
      <c r="D82" s="17" t="s">
        <v>262</v>
      </c>
      <c r="E82" s="15" t="s">
        <v>185</v>
      </c>
      <c r="F82" s="15" t="s">
        <v>58</v>
      </c>
      <c r="G82" s="15" t="s">
        <v>14</v>
      </c>
      <c r="H82" s="18"/>
      <c r="I82" s="15"/>
      <c r="J82" s="15" t="n">
        <v>0</v>
      </c>
      <c r="K82" s="18" t="str">
        <f aca="false">IF(J82&gt;=5,"Done",IF(H82="","",H82+CHOOSE(J82+1,1,3,7,21,60)))</f>
        <v/>
      </c>
      <c r="L82" s="16"/>
    </row>
    <row r="83" customFormat="false" ht="15" hidden="false" customHeight="false" outlineLevel="0" collapsed="false">
      <c r="A83" s="15" t="n">
        <v>82</v>
      </c>
      <c r="B83" s="15" t="n">
        <v>7</v>
      </c>
      <c r="C83" s="16" t="s">
        <v>99</v>
      </c>
      <c r="D83" s="17" t="s">
        <v>263</v>
      </c>
      <c r="E83" s="15" t="s">
        <v>185</v>
      </c>
      <c r="F83" s="15" t="s">
        <v>56</v>
      </c>
      <c r="G83" s="15" t="s">
        <v>14</v>
      </c>
      <c r="H83" s="18"/>
      <c r="I83" s="15"/>
      <c r="J83" s="15" t="n">
        <v>0</v>
      </c>
      <c r="K83" s="18" t="str">
        <f aca="false">IF(J83&gt;=5,"Done",IF(H83="","",H83+CHOOSE(J83+1,1,3,7,21,60)))</f>
        <v/>
      </c>
      <c r="L83" s="16"/>
    </row>
    <row r="84" customFormat="false" ht="15" hidden="false" customHeight="false" outlineLevel="0" collapsed="false">
      <c r="A84" s="15" t="n">
        <v>83</v>
      </c>
      <c r="B84" s="15" t="n">
        <v>7</v>
      </c>
      <c r="C84" s="16" t="s">
        <v>99</v>
      </c>
      <c r="D84" s="17" t="s">
        <v>264</v>
      </c>
      <c r="E84" s="15" t="s">
        <v>198</v>
      </c>
      <c r="F84" s="15" t="s">
        <v>56</v>
      </c>
      <c r="G84" s="15" t="s">
        <v>14</v>
      </c>
      <c r="H84" s="18"/>
      <c r="I84" s="15"/>
      <c r="J84" s="15" t="n">
        <v>0</v>
      </c>
      <c r="K84" s="18" t="str">
        <f aca="false">IF(J84&gt;=5,"Done",IF(H84="","",H84+CHOOSE(J84+1,1,3,7,21,60)))</f>
        <v/>
      </c>
      <c r="L84" s="16"/>
    </row>
    <row r="85" customFormat="false" ht="15" hidden="false" customHeight="false" outlineLevel="0" collapsed="false">
      <c r="A85" s="15" t="n">
        <v>84</v>
      </c>
      <c r="B85" s="15" t="n">
        <v>7</v>
      </c>
      <c r="C85" s="16" t="s">
        <v>99</v>
      </c>
      <c r="D85" s="17" t="s">
        <v>265</v>
      </c>
      <c r="E85" s="15" t="s">
        <v>198</v>
      </c>
      <c r="F85" s="15" t="s">
        <v>56</v>
      </c>
      <c r="G85" s="15" t="s">
        <v>14</v>
      </c>
      <c r="H85" s="18"/>
      <c r="I85" s="15"/>
      <c r="J85" s="15" t="n">
        <v>0</v>
      </c>
      <c r="K85" s="18" t="str">
        <f aca="false">IF(J85&gt;=5,"Done",IF(H85="","",H85+CHOOSE(J85+1,1,3,7,21,60)))</f>
        <v/>
      </c>
      <c r="L85" s="16"/>
    </row>
    <row r="86" customFormat="false" ht="15" hidden="false" customHeight="false" outlineLevel="0" collapsed="false">
      <c r="A86" s="15" t="n">
        <v>85</v>
      </c>
      <c r="B86" s="15" t="n">
        <v>7</v>
      </c>
      <c r="C86" s="16" t="s">
        <v>99</v>
      </c>
      <c r="D86" s="17" t="s">
        <v>266</v>
      </c>
      <c r="E86" s="15" t="s">
        <v>185</v>
      </c>
      <c r="F86" s="15" t="s">
        <v>56</v>
      </c>
      <c r="G86" s="15" t="s">
        <v>14</v>
      </c>
      <c r="H86" s="18"/>
      <c r="I86" s="15"/>
      <c r="J86" s="15" t="n">
        <v>0</v>
      </c>
      <c r="K86" s="18" t="str">
        <f aca="false">IF(J86&gt;=5,"Done",IF(H86="","",H86+CHOOSE(J86+1,1,3,7,21,60)))</f>
        <v/>
      </c>
      <c r="L86" s="16"/>
    </row>
    <row r="87" customFormat="false" ht="15" hidden="false" customHeight="false" outlineLevel="0" collapsed="false">
      <c r="A87" s="15" t="n">
        <v>86</v>
      </c>
      <c r="B87" s="15" t="n">
        <v>8</v>
      </c>
      <c r="C87" s="16" t="s">
        <v>103</v>
      </c>
      <c r="D87" s="17" t="s">
        <v>267</v>
      </c>
      <c r="E87" s="15" t="s">
        <v>181</v>
      </c>
      <c r="F87" s="15" t="s">
        <v>58</v>
      </c>
      <c r="G87" s="15" t="s">
        <v>14</v>
      </c>
      <c r="H87" s="18"/>
      <c r="I87" s="15"/>
      <c r="J87" s="15" t="n">
        <v>0</v>
      </c>
      <c r="K87" s="18" t="str">
        <f aca="false">IF(J87&gt;=5,"Done",IF(H87="","",H87+CHOOSE(J87+1,1,3,7,21,60)))</f>
        <v/>
      </c>
      <c r="L87" s="16"/>
    </row>
    <row r="88" customFormat="false" ht="15" hidden="false" customHeight="false" outlineLevel="0" collapsed="false">
      <c r="A88" s="15" t="n">
        <v>87</v>
      </c>
      <c r="B88" s="15" t="n">
        <v>8</v>
      </c>
      <c r="C88" s="16" t="s">
        <v>103</v>
      </c>
      <c r="D88" s="17" t="s">
        <v>268</v>
      </c>
      <c r="E88" s="15" t="s">
        <v>181</v>
      </c>
      <c r="F88" s="15" t="s">
        <v>56</v>
      </c>
      <c r="G88" s="15" t="s">
        <v>14</v>
      </c>
      <c r="H88" s="18"/>
      <c r="I88" s="15"/>
      <c r="J88" s="15" t="n">
        <v>0</v>
      </c>
      <c r="K88" s="18" t="str">
        <f aca="false">IF(J88&gt;=5,"Done",IF(H88="","",H88+CHOOSE(J88+1,1,3,7,21,60)))</f>
        <v/>
      </c>
      <c r="L88" s="16"/>
    </row>
    <row r="89" customFormat="false" ht="15" hidden="false" customHeight="false" outlineLevel="0" collapsed="false">
      <c r="A89" s="15" t="n">
        <v>88</v>
      </c>
      <c r="B89" s="15" t="n">
        <v>8</v>
      </c>
      <c r="C89" s="16" t="s">
        <v>103</v>
      </c>
      <c r="D89" s="17" t="s">
        <v>269</v>
      </c>
      <c r="E89" s="15" t="s">
        <v>181</v>
      </c>
      <c r="F89" s="15" t="s">
        <v>58</v>
      </c>
      <c r="G89" s="15" t="s">
        <v>14</v>
      </c>
      <c r="H89" s="18"/>
      <c r="I89" s="15"/>
      <c r="J89" s="15" t="n">
        <v>0</v>
      </c>
      <c r="K89" s="18" t="str">
        <f aca="false">IF(J89&gt;=5,"Done",IF(H89="","",H89+CHOOSE(J89+1,1,3,7,21,60)))</f>
        <v/>
      </c>
      <c r="L89" s="16"/>
    </row>
    <row r="90" customFormat="false" ht="15" hidden="false" customHeight="false" outlineLevel="0" collapsed="false">
      <c r="A90" s="15" t="n">
        <v>89</v>
      </c>
      <c r="B90" s="15" t="n">
        <v>8</v>
      </c>
      <c r="C90" s="16" t="s">
        <v>103</v>
      </c>
      <c r="D90" s="17" t="s">
        <v>270</v>
      </c>
      <c r="E90" s="15" t="s">
        <v>181</v>
      </c>
      <c r="F90" s="15" t="s">
        <v>58</v>
      </c>
      <c r="G90" s="15" t="s">
        <v>14</v>
      </c>
      <c r="H90" s="18"/>
      <c r="I90" s="15"/>
      <c r="J90" s="15" t="n">
        <v>0</v>
      </c>
      <c r="K90" s="18" t="str">
        <f aca="false">IF(J90&gt;=5,"Done",IF(H90="","",H90+CHOOSE(J90+1,1,3,7,21,60)))</f>
        <v/>
      </c>
      <c r="L90" s="16"/>
    </row>
    <row r="91" customFormat="false" ht="15" hidden="false" customHeight="false" outlineLevel="0" collapsed="false">
      <c r="A91" s="15" t="n">
        <v>90</v>
      </c>
      <c r="B91" s="15" t="n">
        <v>8</v>
      </c>
      <c r="C91" s="16" t="s">
        <v>103</v>
      </c>
      <c r="D91" s="17" t="s">
        <v>271</v>
      </c>
      <c r="E91" s="15" t="s">
        <v>181</v>
      </c>
      <c r="F91" s="15" t="s">
        <v>58</v>
      </c>
      <c r="G91" s="15" t="s">
        <v>14</v>
      </c>
      <c r="H91" s="18"/>
      <c r="I91" s="15"/>
      <c r="J91" s="15" t="n">
        <v>0</v>
      </c>
      <c r="K91" s="18" t="str">
        <f aca="false">IF(J91&gt;=5,"Done",IF(H91="","",H91+CHOOSE(J91+1,1,3,7,21,60)))</f>
        <v/>
      </c>
      <c r="L91" s="16"/>
    </row>
    <row r="92" customFormat="false" ht="15" hidden="false" customHeight="false" outlineLevel="0" collapsed="false">
      <c r="A92" s="15" t="n">
        <v>91</v>
      </c>
      <c r="B92" s="15" t="n">
        <v>8</v>
      </c>
      <c r="C92" s="16" t="s">
        <v>103</v>
      </c>
      <c r="D92" s="17" t="s">
        <v>272</v>
      </c>
      <c r="E92" s="15" t="s">
        <v>181</v>
      </c>
      <c r="F92" s="15" t="s">
        <v>56</v>
      </c>
      <c r="G92" s="15" t="s">
        <v>14</v>
      </c>
      <c r="H92" s="18"/>
      <c r="I92" s="15"/>
      <c r="J92" s="15" t="n">
        <v>0</v>
      </c>
      <c r="K92" s="18" t="str">
        <f aca="false">IF(J92&gt;=5,"Done",IF(H92="","",H92+CHOOSE(J92+1,1,3,7,21,60)))</f>
        <v/>
      </c>
      <c r="L92" s="16"/>
    </row>
    <row r="93" customFormat="false" ht="15" hidden="false" customHeight="false" outlineLevel="0" collapsed="false">
      <c r="A93" s="15" t="n">
        <v>92</v>
      </c>
      <c r="B93" s="15" t="n">
        <v>8</v>
      </c>
      <c r="C93" s="16" t="s">
        <v>103</v>
      </c>
      <c r="D93" s="17" t="s">
        <v>273</v>
      </c>
      <c r="E93" s="15" t="s">
        <v>181</v>
      </c>
      <c r="F93" s="15" t="s">
        <v>58</v>
      </c>
      <c r="G93" s="15" t="s">
        <v>14</v>
      </c>
      <c r="H93" s="18"/>
      <c r="I93" s="15"/>
      <c r="J93" s="15" t="n">
        <v>0</v>
      </c>
      <c r="K93" s="18" t="str">
        <f aca="false">IF(J93&gt;=5,"Done",IF(H93="","",H93+CHOOSE(J93+1,1,3,7,21,60)))</f>
        <v/>
      </c>
      <c r="L93" s="16"/>
    </row>
    <row r="94" customFormat="false" ht="15" hidden="false" customHeight="false" outlineLevel="0" collapsed="false">
      <c r="A94" s="15" t="n">
        <v>93</v>
      </c>
      <c r="B94" s="15" t="n">
        <v>8</v>
      </c>
      <c r="C94" s="16" t="s">
        <v>103</v>
      </c>
      <c r="D94" s="17" t="s">
        <v>274</v>
      </c>
      <c r="E94" s="15" t="s">
        <v>181</v>
      </c>
      <c r="F94" s="15" t="s">
        <v>58</v>
      </c>
      <c r="G94" s="15" t="s">
        <v>14</v>
      </c>
      <c r="H94" s="18"/>
      <c r="I94" s="15"/>
      <c r="J94" s="15" t="n">
        <v>0</v>
      </c>
      <c r="K94" s="18" t="str">
        <f aca="false">IF(J94&gt;=5,"Done",IF(H94="","",H94+CHOOSE(J94+1,1,3,7,21,60)))</f>
        <v/>
      </c>
      <c r="L94" s="16"/>
    </row>
    <row r="95" customFormat="false" ht="15" hidden="false" customHeight="false" outlineLevel="0" collapsed="false">
      <c r="A95" s="15" t="n">
        <v>94</v>
      </c>
      <c r="B95" s="15" t="n">
        <v>8</v>
      </c>
      <c r="C95" s="16" t="s">
        <v>103</v>
      </c>
      <c r="D95" s="17" t="s">
        <v>275</v>
      </c>
      <c r="E95" s="15" t="s">
        <v>181</v>
      </c>
      <c r="F95" s="15" t="s">
        <v>58</v>
      </c>
      <c r="G95" s="15" t="s">
        <v>14</v>
      </c>
      <c r="H95" s="18"/>
      <c r="I95" s="15"/>
      <c r="J95" s="15" t="n">
        <v>0</v>
      </c>
      <c r="K95" s="18" t="str">
        <f aca="false">IF(J95&gt;=5,"Done",IF(H95="","",H95+CHOOSE(J95+1,1,3,7,21,60)))</f>
        <v/>
      </c>
      <c r="L95" s="16"/>
    </row>
    <row r="96" customFormat="false" ht="15" hidden="false" customHeight="false" outlineLevel="0" collapsed="false">
      <c r="A96" s="15" t="n">
        <v>95</v>
      </c>
      <c r="B96" s="15" t="n">
        <v>8</v>
      </c>
      <c r="C96" s="16" t="s">
        <v>103</v>
      </c>
      <c r="D96" s="17" t="s">
        <v>276</v>
      </c>
      <c r="E96" s="15" t="s">
        <v>181</v>
      </c>
      <c r="F96" s="15" t="s">
        <v>58</v>
      </c>
      <c r="G96" s="15" t="s">
        <v>14</v>
      </c>
      <c r="H96" s="18"/>
      <c r="I96" s="15"/>
      <c r="J96" s="15" t="n">
        <v>0</v>
      </c>
      <c r="K96" s="18" t="str">
        <f aca="false">IF(J96&gt;=5,"Done",IF(H96="","",H96+CHOOSE(J96+1,1,3,7,21,60)))</f>
        <v/>
      </c>
      <c r="L96" s="16"/>
    </row>
    <row r="97" customFormat="false" ht="15" hidden="false" customHeight="false" outlineLevel="0" collapsed="false">
      <c r="A97" s="15" t="n">
        <v>96</v>
      </c>
      <c r="B97" s="15" t="n">
        <v>8</v>
      </c>
      <c r="C97" s="16" t="s">
        <v>103</v>
      </c>
      <c r="D97" s="17" t="s">
        <v>277</v>
      </c>
      <c r="E97" s="15" t="s">
        <v>181</v>
      </c>
      <c r="F97" s="15" t="s">
        <v>58</v>
      </c>
      <c r="G97" s="15" t="s">
        <v>14</v>
      </c>
      <c r="H97" s="18"/>
      <c r="I97" s="15"/>
      <c r="J97" s="15" t="n">
        <v>0</v>
      </c>
      <c r="K97" s="18" t="str">
        <f aca="false">IF(J97&gt;=5,"Done",IF(H97="","",H97+CHOOSE(J97+1,1,3,7,21,60)))</f>
        <v/>
      </c>
      <c r="L97" s="16"/>
    </row>
    <row r="98" customFormat="false" ht="15" hidden="false" customHeight="false" outlineLevel="0" collapsed="false">
      <c r="A98" s="15" t="n">
        <v>97</v>
      </c>
      <c r="B98" s="15" t="n">
        <v>8</v>
      </c>
      <c r="C98" s="16" t="s">
        <v>103</v>
      </c>
      <c r="D98" s="17" t="s">
        <v>278</v>
      </c>
      <c r="E98" s="15" t="s">
        <v>185</v>
      </c>
      <c r="F98" s="15" t="s">
        <v>58</v>
      </c>
      <c r="G98" s="15" t="s">
        <v>14</v>
      </c>
      <c r="H98" s="18"/>
      <c r="I98" s="15"/>
      <c r="J98" s="15" t="n">
        <v>0</v>
      </c>
      <c r="K98" s="18" t="str">
        <f aca="false">IF(J98&gt;=5,"Done",IF(H98="","",H98+CHOOSE(J98+1,1,3,7,21,60)))</f>
        <v/>
      </c>
      <c r="L98" s="16"/>
    </row>
    <row r="99" customFormat="false" ht="15" hidden="false" customHeight="false" outlineLevel="0" collapsed="false">
      <c r="A99" s="15" t="n">
        <v>98</v>
      </c>
      <c r="B99" s="15" t="n">
        <v>8</v>
      </c>
      <c r="C99" s="16" t="s">
        <v>103</v>
      </c>
      <c r="D99" s="17" t="s">
        <v>279</v>
      </c>
      <c r="E99" s="15" t="s">
        <v>185</v>
      </c>
      <c r="F99" s="15" t="s">
        <v>56</v>
      </c>
      <c r="G99" s="15" t="s">
        <v>14</v>
      </c>
      <c r="H99" s="18"/>
      <c r="I99" s="15"/>
      <c r="J99" s="15" t="n">
        <v>0</v>
      </c>
      <c r="K99" s="18" t="str">
        <f aca="false">IF(J99&gt;=5,"Done",IF(H99="","",H99+CHOOSE(J99+1,1,3,7,21,60)))</f>
        <v/>
      </c>
      <c r="L99" s="16"/>
    </row>
    <row r="100" customFormat="false" ht="15" hidden="false" customHeight="false" outlineLevel="0" collapsed="false">
      <c r="A100" s="15" t="n">
        <v>99</v>
      </c>
      <c r="B100" s="15" t="n">
        <v>8</v>
      </c>
      <c r="C100" s="16" t="s">
        <v>103</v>
      </c>
      <c r="D100" s="17" t="s">
        <v>280</v>
      </c>
      <c r="E100" s="15" t="s">
        <v>185</v>
      </c>
      <c r="F100" s="15" t="s">
        <v>58</v>
      </c>
      <c r="G100" s="15" t="s">
        <v>14</v>
      </c>
      <c r="H100" s="18"/>
      <c r="I100" s="15"/>
      <c r="J100" s="15" t="n">
        <v>0</v>
      </c>
      <c r="K100" s="18" t="str">
        <f aca="false">IF(J100&gt;=5,"Done",IF(H100="","",H100+CHOOSE(J100+1,1,3,7,21,60)))</f>
        <v/>
      </c>
      <c r="L100" s="16"/>
    </row>
    <row r="101" customFormat="false" ht="15" hidden="false" customHeight="false" outlineLevel="0" collapsed="false">
      <c r="A101" s="15" t="n">
        <v>100</v>
      </c>
      <c r="B101" s="15" t="n">
        <v>8</v>
      </c>
      <c r="C101" s="16" t="s">
        <v>103</v>
      </c>
      <c r="D101" s="17" t="s">
        <v>281</v>
      </c>
      <c r="E101" s="15" t="s">
        <v>185</v>
      </c>
      <c r="F101" s="15" t="s">
        <v>58</v>
      </c>
      <c r="G101" s="15" t="s">
        <v>14</v>
      </c>
      <c r="H101" s="18"/>
      <c r="I101" s="15"/>
      <c r="J101" s="15" t="n">
        <v>0</v>
      </c>
      <c r="K101" s="18" t="str">
        <f aca="false">IF(J101&gt;=5,"Done",IF(H101="","",H101+CHOOSE(J101+1,1,3,7,21,60)))</f>
        <v/>
      </c>
      <c r="L101" s="16"/>
    </row>
    <row r="102" customFormat="false" ht="15" hidden="false" customHeight="false" outlineLevel="0" collapsed="false">
      <c r="A102" s="15" t="n">
        <v>101</v>
      </c>
      <c r="B102" s="15" t="n">
        <v>9</v>
      </c>
      <c r="C102" s="16" t="s">
        <v>105</v>
      </c>
      <c r="D102" s="17" t="s">
        <v>282</v>
      </c>
      <c r="E102" s="15" t="s">
        <v>185</v>
      </c>
      <c r="F102" s="15" t="s">
        <v>56</v>
      </c>
      <c r="G102" s="15" t="s">
        <v>14</v>
      </c>
      <c r="H102" s="18"/>
      <c r="I102" s="15"/>
      <c r="J102" s="15" t="n">
        <v>0</v>
      </c>
      <c r="K102" s="18" t="str">
        <f aca="false">IF(J102&gt;=5,"Done",IF(H102="","",H102+CHOOSE(J102+1,1,3,7,21,60)))</f>
        <v/>
      </c>
      <c r="L102" s="16"/>
    </row>
    <row r="103" customFormat="false" ht="15" hidden="false" customHeight="false" outlineLevel="0" collapsed="false">
      <c r="A103" s="15" t="n">
        <v>102</v>
      </c>
      <c r="B103" s="15" t="n">
        <v>9</v>
      </c>
      <c r="C103" s="16" t="s">
        <v>105</v>
      </c>
      <c r="D103" s="17" t="s">
        <v>283</v>
      </c>
      <c r="E103" s="15" t="s">
        <v>185</v>
      </c>
      <c r="F103" s="15" t="s">
        <v>56</v>
      </c>
      <c r="G103" s="15" t="s">
        <v>14</v>
      </c>
      <c r="H103" s="18"/>
      <c r="I103" s="15"/>
      <c r="J103" s="15" t="n">
        <v>0</v>
      </c>
      <c r="K103" s="18" t="str">
        <f aca="false">IF(J103&gt;=5,"Done",IF(H103="","",H103+CHOOSE(J103+1,1,3,7,21,60)))</f>
        <v/>
      </c>
      <c r="L103" s="16"/>
    </row>
    <row r="104" customFormat="false" ht="15" hidden="false" customHeight="false" outlineLevel="0" collapsed="false">
      <c r="A104" s="15" t="n">
        <v>103</v>
      </c>
      <c r="B104" s="15" t="n">
        <v>9</v>
      </c>
      <c r="C104" s="16" t="s">
        <v>105</v>
      </c>
      <c r="D104" s="17" t="s">
        <v>284</v>
      </c>
      <c r="E104" s="15" t="s">
        <v>185</v>
      </c>
      <c r="F104" s="15" t="s">
        <v>58</v>
      </c>
      <c r="G104" s="15" t="s">
        <v>14</v>
      </c>
      <c r="H104" s="18"/>
      <c r="I104" s="15"/>
      <c r="J104" s="15" t="n">
        <v>0</v>
      </c>
      <c r="K104" s="18" t="str">
        <f aca="false">IF(J104&gt;=5,"Done",IF(H104="","",H104+CHOOSE(J104+1,1,3,7,21,60)))</f>
        <v/>
      </c>
      <c r="L104" s="16"/>
    </row>
    <row r="105" customFormat="false" ht="15" hidden="false" customHeight="false" outlineLevel="0" collapsed="false">
      <c r="A105" s="15" t="n">
        <v>104</v>
      </c>
      <c r="B105" s="15" t="n">
        <v>9</v>
      </c>
      <c r="C105" s="16" t="s">
        <v>105</v>
      </c>
      <c r="D105" s="17" t="s">
        <v>285</v>
      </c>
      <c r="E105" s="15" t="s">
        <v>185</v>
      </c>
      <c r="F105" s="15" t="s">
        <v>56</v>
      </c>
      <c r="G105" s="15" t="s">
        <v>14</v>
      </c>
      <c r="H105" s="18"/>
      <c r="I105" s="15"/>
      <c r="J105" s="15" t="n">
        <v>0</v>
      </c>
      <c r="K105" s="18" t="str">
        <f aca="false">IF(J105&gt;=5,"Done",IF(H105="","",H105+CHOOSE(J105+1,1,3,7,21,60)))</f>
        <v/>
      </c>
      <c r="L105" s="16"/>
    </row>
    <row r="106" customFormat="false" ht="15" hidden="false" customHeight="false" outlineLevel="0" collapsed="false">
      <c r="A106" s="15" t="n">
        <v>105</v>
      </c>
      <c r="B106" s="15" t="n">
        <v>9</v>
      </c>
      <c r="C106" s="16" t="s">
        <v>105</v>
      </c>
      <c r="D106" s="17" t="s">
        <v>286</v>
      </c>
      <c r="E106" s="15" t="s">
        <v>185</v>
      </c>
      <c r="F106" s="15" t="s">
        <v>56</v>
      </c>
      <c r="G106" s="15" t="s">
        <v>14</v>
      </c>
      <c r="H106" s="18"/>
      <c r="I106" s="15"/>
      <c r="J106" s="15" t="n">
        <v>0</v>
      </c>
      <c r="K106" s="18" t="str">
        <f aca="false">IF(J106&gt;=5,"Done",IF(H106="","",H106+CHOOSE(J106+1,1,3,7,21,60)))</f>
        <v/>
      </c>
      <c r="L106" s="16"/>
    </row>
    <row r="107" customFormat="false" ht="15" hidden="false" customHeight="false" outlineLevel="0" collapsed="false">
      <c r="A107" s="15" t="n">
        <v>106</v>
      </c>
      <c r="B107" s="15" t="n">
        <v>9</v>
      </c>
      <c r="C107" s="16" t="s">
        <v>105</v>
      </c>
      <c r="D107" s="17" t="s">
        <v>287</v>
      </c>
      <c r="E107" s="15" t="s">
        <v>185</v>
      </c>
      <c r="F107" s="15" t="s">
        <v>58</v>
      </c>
      <c r="G107" s="15" t="s">
        <v>14</v>
      </c>
      <c r="H107" s="18"/>
      <c r="I107" s="15"/>
      <c r="J107" s="15" t="n">
        <v>0</v>
      </c>
      <c r="K107" s="18" t="str">
        <f aca="false">IF(J107&gt;=5,"Done",IF(H107="","",H107+CHOOSE(J107+1,1,3,7,21,60)))</f>
        <v/>
      </c>
      <c r="L107" s="16"/>
    </row>
    <row r="108" customFormat="false" ht="15" hidden="false" customHeight="false" outlineLevel="0" collapsed="false">
      <c r="A108" s="15" t="n">
        <v>107</v>
      </c>
      <c r="B108" s="15" t="n">
        <v>9</v>
      </c>
      <c r="C108" s="16" t="s">
        <v>105</v>
      </c>
      <c r="D108" s="17" t="s">
        <v>288</v>
      </c>
      <c r="E108" s="15" t="s">
        <v>185</v>
      </c>
      <c r="F108" s="15" t="s">
        <v>58</v>
      </c>
      <c r="G108" s="15" t="s">
        <v>14</v>
      </c>
      <c r="H108" s="18"/>
      <c r="I108" s="15"/>
      <c r="J108" s="15" t="n">
        <v>0</v>
      </c>
      <c r="K108" s="18" t="str">
        <f aca="false">IF(J108&gt;=5,"Done",IF(H108="","",H108+CHOOSE(J108+1,1,3,7,21,60)))</f>
        <v/>
      </c>
      <c r="L108" s="16"/>
    </row>
    <row r="109" customFormat="false" ht="15" hidden="false" customHeight="false" outlineLevel="0" collapsed="false">
      <c r="A109" s="15" t="n">
        <v>108</v>
      </c>
      <c r="B109" s="15" t="n">
        <v>9</v>
      </c>
      <c r="C109" s="16" t="s">
        <v>105</v>
      </c>
      <c r="D109" s="17" t="s">
        <v>289</v>
      </c>
      <c r="E109" s="15" t="s">
        <v>185</v>
      </c>
      <c r="F109" s="15" t="s">
        <v>58</v>
      </c>
      <c r="G109" s="15" t="s">
        <v>14</v>
      </c>
      <c r="H109" s="18"/>
      <c r="I109" s="15"/>
      <c r="J109" s="15" t="n">
        <v>0</v>
      </c>
      <c r="K109" s="18" t="str">
        <f aca="false">IF(J109&gt;=5,"Done",IF(H109="","",H109+CHOOSE(J109+1,1,3,7,21,60)))</f>
        <v/>
      </c>
      <c r="L109" s="16"/>
    </row>
    <row r="110" customFormat="false" ht="15" hidden="false" customHeight="false" outlineLevel="0" collapsed="false">
      <c r="A110" s="15" t="n">
        <v>109</v>
      </c>
      <c r="B110" s="15" t="n">
        <v>9</v>
      </c>
      <c r="C110" s="16" t="s">
        <v>105</v>
      </c>
      <c r="D110" s="17" t="s">
        <v>290</v>
      </c>
      <c r="E110" s="15" t="s">
        <v>198</v>
      </c>
      <c r="F110" s="15" t="s">
        <v>56</v>
      </c>
      <c r="G110" s="15" t="s">
        <v>14</v>
      </c>
      <c r="H110" s="18"/>
      <c r="I110" s="15"/>
      <c r="J110" s="15" t="n">
        <v>0</v>
      </c>
      <c r="K110" s="18" t="str">
        <f aca="false">IF(J110&gt;=5,"Done",IF(H110="","",H110+CHOOSE(J110+1,1,3,7,21,60)))</f>
        <v/>
      </c>
      <c r="L110" s="16"/>
    </row>
    <row r="111" customFormat="false" ht="15" hidden="false" customHeight="false" outlineLevel="0" collapsed="false">
      <c r="A111" s="15" t="n">
        <v>110</v>
      </c>
      <c r="B111" s="15" t="n">
        <v>9</v>
      </c>
      <c r="C111" s="16" t="s">
        <v>105</v>
      </c>
      <c r="D111" s="17" t="s">
        <v>291</v>
      </c>
      <c r="E111" s="15" t="s">
        <v>198</v>
      </c>
      <c r="F111" s="15" t="s">
        <v>56</v>
      </c>
      <c r="G111" s="15" t="s">
        <v>14</v>
      </c>
      <c r="H111" s="18"/>
      <c r="I111" s="15"/>
      <c r="J111" s="15" t="n">
        <v>0</v>
      </c>
      <c r="K111" s="18" t="str">
        <f aca="false">IF(J111&gt;=5,"Done",IF(H111="","",H111+CHOOSE(J111+1,1,3,7,21,60)))</f>
        <v/>
      </c>
      <c r="L111" s="16"/>
    </row>
    <row r="112" customFormat="false" ht="15" hidden="false" customHeight="false" outlineLevel="0" collapsed="false">
      <c r="A112" s="15" t="n">
        <v>111</v>
      </c>
      <c r="B112" s="15" t="n">
        <v>9</v>
      </c>
      <c r="C112" s="16" t="s">
        <v>105</v>
      </c>
      <c r="D112" s="17" t="s">
        <v>292</v>
      </c>
      <c r="E112" s="15" t="s">
        <v>185</v>
      </c>
      <c r="F112" s="15" t="s">
        <v>58</v>
      </c>
      <c r="G112" s="15" t="s">
        <v>14</v>
      </c>
      <c r="H112" s="18"/>
      <c r="I112" s="15"/>
      <c r="J112" s="15" t="n">
        <v>0</v>
      </c>
      <c r="K112" s="18" t="str">
        <f aca="false">IF(J112&gt;=5,"Done",IF(H112="","",H112+CHOOSE(J112+1,1,3,7,21,60)))</f>
        <v/>
      </c>
      <c r="L112" s="16"/>
    </row>
    <row r="113" customFormat="false" ht="15" hidden="false" customHeight="false" outlineLevel="0" collapsed="false">
      <c r="A113" s="15" t="n">
        <v>112</v>
      </c>
      <c r="B113" s="15" t="n">
        <v>9</v>
      </c>
      <c r="C113" s="16" t="s">
        <v>105</v>
      </c>
      <c r="D113" s="17" t="s">
        <v>293</v>
      </c>
      <c r="E113" s="15" t="s">
        <v>198</v>
      </c>
      <c r="F113" s="15" t="s">
        <v>58</v>
      </c>
      <c r="G113" s="15" t="s">
        <v>14</v>
      </c>
      <c r="H113" s="18"/>
      <c r="I113" s="15"/>
      <c r="J113" s="15" t="n">
        <v>0</v>
      </c>
      <c r="K113" s="18" t="str">
        <f aca="false">IF(J113&gt;=5,"Done",IF(H113="","",H113+CHOOSE(J113+1,1,3,7,21,60)))</f>
        <v/>
      </c>
      <c r="L113" s="16"/>
    </row>
    <row r="114" customFormat="false" ht="15" hidden="false" customHeight="false" outlineLevel="0" collapsed="false">
      <c r="A114" s="15" t="n">
        <v>113</v>
      </c>
      <c r="B114" s="15" t="n">
        <v>10</v>
      </c>
      <c r="C114" s="16" t="s">
        <v>107</v>
      </c>
      <c r="D114" s="17" t="s">
        <v>294</v>
      </c>
      <c r="E114" s="15" t="s">
        <v>185</v>
      </c>
      <c r="F114" s="15" t="s">
        <v>56</v>
      </c>
      <c r="G114" s="15" t="s">
        <v>14</v>
      </c>
      <c r="H114" s="18"/>
      <c r="I114" s="15"/>
      <c r="J114" s="15" t="n">
        <v>0</v>
      </c>
      <c r="K114" s="18" t="str">
        <f aca="false">IF(J114&gt;=5,"Done",IF(H114="","",H114+CHOOSE(J114+1,1,3,7,21,60)))</f>
        <v/>
      </c>
      <c r="L114" s="16"/>
    </row>
    <row r="115" customFormat="false" ht="15" hidden="false" customHeight="false" outlineLevel="0" collapsed="false">
      <c r="A115" s="15" t="n">
        <v>114</v>
      </c>
      <c r="B115" s="15" t="n">
        <v>10</v>
      </c>
      <c r="C115" s="16" t="s">
        <v>107</v>
      </c>
      <c r="D115" s="17" t="s">
        <v>295</v>
      </c>
      <c r="E115" s="15" t="s">
        <v>185</v>
      </c>
      <c r="F115" s="15" t="s">
        <v>56</v>
      </c>
      <c r="G115" s="15" t="s">
        <v>14</v>
      </c>
      <c r="H115" s="18"/>
      <c r="I115" s="15"/>
      <c r="J115" s="15" t="n">
        <v>0</v>
      </c>
      <c r="K115" s="18" t="str">
        <f aca="false">IF(J115&gt;=5,"Done",IF(H115="","",H115+CHOOSE(J115+1,1,3,7,21,60)))</f>
        <v/>
      </c>
      <c r="L115" s="16"/>
    </row>
    <row r="116" customFormat="false" ht="15" hidden="false" customHeight="false" outlineLevel="0" collapsed="false">
      <c r="A116" s="15" t="n">
        <v>115</v>
      </c>
      <c r="B116" s="15" t="n">
        <v>10</v>
      </c>
      <c r="C116" s="16" t="s">
        <v>107</v>
      </c>
      <c r="D116" s="17" t="s">
        <v>296</v>
      </c>
      <c r="E116" s="15" t="s">
        <v>185</v>
      </c>
      <c r="F116" s="15" t="s">
        <v>58</v>
      </c>
      <c r="G116" s="15" t="s">
        <v>14</v>
      </c>
      <c r="H116" s="18"/>
      <c r="I116" s="15"/>
      <c r="J116" s="15" t="n">
        <v>0</v>
      </c>
      <c r="K116" s="18" t="str">
        <f aca="false">IF(J116&gt;=5,"Done",IF(H116="","",H116+CHOOSE(J116+1,1,3,7,21,60)))</f>
        <v/>
      </c>
      <c r="L116" s="16"/>
    </row>
    <row r="117" customFormat="false" ht="15" hidden="false" customHeight="false" outlineLevel="0" collapsed="false">
      <c r="A117" s="15" t="n">
        <v>116</v>
      </c>
      <c r="B117" s="15" t="n">
        <v>10</v>
      </c>
      <c r="C117" s="16" t="s">
        <v>107</v>
      </c>
      <c r="D117" s="17" t="s">
        <v>297</v>
      </c>
      <c r="E117" s="15" t="s">
        <v>181</v>
      </c>
      <c r="F117" s="15" t="s">
        <v>58</v>
      </c>
      <c r="G117" s="15" t="s">
        <v>14</v>
      </c>
      <c r="H117" s="18"/>
      <c r="I117" s="15"/>
      <c r="J117" s="15" t="n">
        <v>0</v>
      </c>
      <c r="K117" s="18" t="str">
        <f aca="false">IF(J117&gt;=5,"Done",IF(H117="","",H117+CHOOSE(J117+1,1,3,7,21,60)))</f>
        <v/>
      </c>
      <c r="L117" s="16"/>
    </row>
    <row r="118" customFormat="false" ht="15" hidden="false" customHeight="false" outlineLevel="0" collapsed="false">
      <c r="A118" s="15" t="n">
        <v>117</v>
      </c>
      <c r="B118" s="15" t="n">
        <v>10</v>
      </c>
      <c r="C118" s="16" t="s">
        <v>107</v>
      </c>
      <c r="D118" s="17" t="s">
        <v>298</v>
      </c>
      <c r="E118" s="15" t="s">
        <v>185</v>
      </c>
      <c r="F118" s="15" t="s">
        <v>58</v>
      </c>
      <c r="G118" s="15" t="s">
        <v>14</v>
      </c>
      <c r="H118" s="18"/>
      <c r="I118" s="15"/>
      <c r="J118" s="15" t="n">
        <v>0</v>
      </c>
      <c r="K118" s="18" t="str">
        <f aca="false">IF(J118&gt;=5,"Done",IF(H118="","",H118+CHOOSE(J118+1,1,3,7,21,60)))</f>
        <v/>
      </c>
      <c r="L118" s="16"/>
    </row>
    <row r="119" customFormat="false" ht="15" hidden="false" customHeight="false" outlineLevel="0" collapsed="false">
      <c r="A119" s="15" t="n">
        <v>118</v>
      </c>
      <c r="B119" s="15" t="n">
        <v>10</v>
      </c>
      <c r="C119" s="16" t="s">
        <v>107</v>
      </c>
      <c r="D119" s="17" t="s">
        <v>299</v>
      </c>
      <c r="E119" s="15" t="s">
        <v>185</v>
      </c>
      <c r="F119" s="15" t="s">
        <v>58</v>
      </c>
      <c r="G119" s="15" t="s">
        <v>14</v>
      </c>
      <c r="H119" s="18"/>
      <c r="I119" s="15"/>
      <c r="J119" s="15" t="n">
        <v>0</v>
      </c>
      <c r="K119" s="18" t="str">
        <f aca="false">IF(J119&gt;=5,"Done",IF(H119="","",H119+CHOOSE(J119+1,1,3,7,21,60)))</f>
        <v/>
      </c>
      <c r="L119" s="16"/>
    </row>
    <row r="120" customFormat="false" ht="15" hidden="false" customHeight="false" outlineLevel="0" collapsed="false">
      <c r="A120" s="15" t="n">
        <v>119</v>
      </c>
      <c r="B120" s="15" t="n">
        <v>10</v>
      </c>
      <c r="C120" s="16" t="s">
        <v>107</v>
      </c>
      <c r="D120" s="17" t="s">
        <v>300</v>
      </c>
      <c r="E120" s="15" t="s">
        <v>185</v>
      </c>
      <c r="F120" s="15" t="s">
        <v>56</v>
      </c>
      <c r="G120" s="15" t="s">
        <v>14</v>
      </c>
      <c r="H120" s="18"/>
      <c r="I120" s="15"/>
      <c r="J120" s="15" t="n">
        <v>0</v>
      </c>
      <c r="K120" s="18" t="str">
        <f aca="false">IF(J120&gt;=5,"Done",IF(H120="","",H120+CHOOSE(J120+1,1,3,7,21,60)))</f>
        <v/>
      </c>
      <c r="L120" s="16"/>
    </row>
    <row r="121" customFormat="false" ht="15" hidden="false" customHeight="false" outlineLevel="0" collapsed="false">
      <c r="A121" s="15" t="n">
        <v>120</v>
      </c>
      <c r="B121" s="15" t="n">
        <v>10</v>
      </c>
      <c r="C121" s="16" t="s">
        <v>107</v>
      </c>
      <c r="D121" s="17" t="s">
        <v>301</v>
      </c>
      <c r="E121" s="15" t="s">
        <v>185</v>
      </c>
      <c r="F121" s="15" t="s">
        <v>56</v>
      </c>
      <c r="G121" s="15" t="s">
        <v>14</v>
      </c>
      <c r="H121" s="18"/>
      <c r="I121" s="15"/>
      <c r="J121" s="15" t="n">
        <v>0</v>
      </c>
      <c r="K121" s="18" t="str">
        <f aca="false">IF(J121&gt;=5,"Done",IF(H121="","",H121+CHOOSE(J121+1,1,3,7,21,60)))</f>
        <v/>
      </c>
      <c r="L121" s="16"/>
    </row>
    <row r="122" customFormat="false" ht="15" hidden="false" customHeight="false" outlineLevel="0" collapsed="false">
      <c r="A122" s="15" t="n">
        <v>121</v>
      </c>
      <c r="B122" s="15" t="n">
        <v>10</v>
      </c>
      <c r="C122" s="16" t="s">
        <v>107</v>
      </c>
      <c r="D122" s="17" t="s">
        <v>302</v>
      </c>
      <c r="E122" s="15" t="s">
        <v>198</v>
      </c>
      <c r="F122" s="15" t="s">
        <v>56</v>
      </c>
      <c r="G122" s="15" t="s">
        <v>14</v>
      </c>
      <c r="H122" s="18"/>
      <c r="I122" s="15"/>
      <c r="J122" s="15" t="n">
        <v>0</v>
      </c>
      <c r="K122" s="18" t="str">
        <f aca="false">IF(J122&gt;=5,"Done",IF(H122="","",H122+CHOOSE(J122+1,1,3,7,21,60)))</f>
        <v/>
      </c>
      <c r="L122" s="16"/>
    </row>
    <row r="123" customFormat="false" ht="15" hidden="false" customHeight="false" outlineLevel="0" collapsed="false">
      <c r="A123" s="15" t="n">
        <v>122</v>
      </c>
      <c r="B123" s="15" t="n">
        <v>10</v>
      </c>
      <c r="C123" s="16" t="s">
        <v>107</v>
      </c>
      <c r="D123" s="17" t="s">
        <v>303</v>
      </c>
      <c r="E123" s="15" t="s">
        <v>185</v>
      </c>
      <c r="F123" s="15" t="s">
        <v>58</v>
      </c>
      <c r="G123" s="15" t="s">
        <v>14</v>
      </c>
      <c r="H123" s="18"/>
      <c r="I123" s="15"/>
      <c r="J123" s="15" t="n">
        <v>0</v>
      </c>
      <c r="K123" s="18" t="str">
        <f aca="false">IF(J123&gt;=5,"Done",IF(H123="","",H123+CHOOSE(J123+1,1,3,7,21,60)))</f>
        <v/>
      </c>
      <c r="L123" s="16"/>
    </row>
    <row r="124" customFormat="false" ht="15" hidden="false" customHeight="false" outlineLevel="0" collapsed="false">
      <c r="A124" s="15" t="n">
        <v>123</v>
      </c>
      <c r="B124" s="15" t="n">
        <v>10</v>
      </c>
      <c r="C124" s="16" t="s">
        <v>107</v>
      </c>
      <c r="D124" s="17" t="s">
        <v>304</v>
      </c>
      <c r="E124" s="15" t="s">
        <v>185</v>
      </c>
      <c r="F124" s="15" t="s">
        <v>58</v>
      </c>
      <c r="G124" s="15" t="s">
        <v>14</v>
      </c>
      <c r="H124" s="18"/>
      <c r="I124" s="15"/>
      <c r="J124" s="15" t="n">
        <v>0</v>
      </c>
      <c r="K124" s="18" t="str">
        <f aca="false">IF(J124&gt;=5,"Done",IF(H124="","",H124+CHOOSE(J124+1,1,3,7,21,60)))</f>
        <v/>
      </c>
      <c r="L124" s="16"/>
    </row>
    <row r="125" customFormat="false" ht="15" hidden="false" customHeight="false" outlineLevel="0" collapsed="false">
      <c r="A125" s="15" t="n">
        <v>124</v>
      </c>
      <c r="B125" s="15" t="n">
        <v>10</v>
      </c>
      <c r="C125" s="16" t="s">
        <v>107</v>
      </c>
      <c r="D125" s="17" t="s">
        <v>305</v>
      </c>
      <c r="E125" s="15" t="s">
        <v>185</v>
      </c>
      <c r="F125" s="15" t="s">
        <v>58</v>
      </c>
      <c r="G125" s="15" t="s">
        <v>14</v>
      </c>
      <c r="H125" s="18"/>
      <c r="I125" s="15"/>
      <c r="J125" s="15" t="n">
        <v>0</v>
      </c>
      <c r="K125" s="18" t="str">
        <f aca="false">IF(J125&gt;=5,"Done",IF(H125="","",H125+CHOOSE(J125+1,1,3,7,21,60)))</f>
        <v/>
      </c>
      <c r="L125" s="16"/>
    </row>
    <row r="126" customFormat="false" ht="15" hidden="false" customHeight="false" outlineLevel="0" collapsed="false">
      <c r="A126" s="15" t="n">
        <v>125</v>
      </c>
      <c r="B126" s="15" t="n">
        <v>11</v>
      </c>
      <c r="C126" s="16" t="s">
        <v>109</v>
      </c>
      <c r="D126" s="17" t="s">
        <v>306</v>
      </c>
      <c r="E126" s="15" t="s">
        <v>185</v>
      </c>
      <c r="F126" s="15" t="s">
        <v>56</v>
      </c>
      <c r="G126" s="15" t="s">
        <v>14</v>
      </c>
      <c r="H126" s="18"/>
      <c r="I126" s="15"/>
      <c r="J126" s="15" t="n">
        <v>0</v>
      </c>
      <c r="K126" s="18" t="str">
        <f aca="false">IF(J126&gt;=5,"Done",IF(H126="","",H126+CHOOSE(J126+1,1,3,7,21,60)))</f>
        <v/>
      </c>
      <c r="L126" s="16"/>
    </row>
    <row r="127" customFormat="false" ht="15" hidden="false" customHeight="false" outlineLevel="0" collapsed="false">
      <c r="A127" s="15" t="n">
        <v>126</v>
      </c>
      <c r="B127" s="15" t="n">
        <v>11</v>
      </c>
      <c r="C127" s="16" t="s">
        <v>109</v>
      </c>
      <c r="D127" s="17" t="s">
        <v>307</v>
      </c>
      <c r="E127" s="15" t="s">
        <v>181</v>
      </c>
      <c r="F127" s="15" t="s">
        <v>58</v>
      </c>
      <c r="G127" s="15" t="s">
        <v>14</v>
      </c>
      <c r="H127" s="18"/>
      <c r="I127" s="15"/>
      <c r="J127" s="15" t="n">
        <v>0</v>
      </c>
      <c r="K127" s="18" t="str">
        <f aca="false">IF(J127&gt;=5,"Done",IF(H127="","",H127+CHOOSE(J127+1,1,3,7,21,60)))</f>
        <v/>
      </c>
      <c r="L127" s="16"/>
    </row>
    <row r="128" customFormat="false" ht="15" hidden="false" customHeight="false" outlineLevel="0" collapsed="false">
      <c r="A128" s="15" t="n">
        <v>127</v>
      </c>
      <c r="B128" s="15" t="n">
        <v>11</v>
      </c>
      <c r="C128" s="16" t="s">
        <v>109</v>
      </c>
      <c r="D128" s="17" t="s">
        <v>308</v>
      </c>
      <c r="E128" s="15" t="s">
        <v>185</v>
      </c>
      <c r="F128" s="15" t="s">
        <v>56</v>
      </c>
      <c r="G128" s="15" t="s">
        <v>14</v>
      </c>
      <c r="H128" s="18"/>
      <c r="I128" s="15"/>
      <c r="J128" s="15" t="n">
        <v>0</v>
      </c>
      <c r="K128" s="18" t="str">
        <f aca="false">IF(J128&gt;=5,"Done",IF(H128="","",H128+CHOOSE(J128+1,1,3,7,21,60)))</f>
        <v/>
      </c>
      <c r="L128" s="16"/>
    </row>
    <row r="129" customFormat="false" ht="15" hidden="false" customHeight="false" outlineLevel="0" collapsed="false">
      <c r="A129" s="15" t="n">
        <v>128</v>
      </c>
      <c r="B129" s="15" t="n">
        <v>11</v>
      </c>
      <c r="C129" s="16" t="s">
        <v>109</v>
      </c>
      <c r="D129" s="17" t="s">
        <v>309</v>
      </c>
      <c r="E129" s="15" t="s">
        <v>185</v>
      </c>
      <c r="F129" s="15" t="s">
        <v>56</v>
      </c>
      <c r="G129" s="15" t="s">
        <v>14</v>
      </c>
      <c r="H129" s="18"/>
      <c r="I129" s="15"/>
      <c r="J129" s="15" t="n">
        <v>0</v>
      </c>
      <c r="K129" s="18" t="str">
        <f aca="false">IF(J129&gt;=5,"Done",IF(H129="","",H129+CHOOSE(J129+1,1,3,7,21,60)))</f>
        <v/>
      </c>
      <c r="L129" s="16"/>
    </row>
    <row r="130" customFormat="false" ht="15" hidden="false" customHeight="false" outlineLevel="0" collapsed="false">
      <c r="A130" s="15" t="n">
        <v>129</v>
      </c>
      <c r="B130" s="15" t="n">
        <v>11</v>
      </c>
      <c r="C130" s="16" t="s">
        <v>109</v>
      </c>
      <c r="D130" s="17" t="s">
        <v>310</v>
      </c>
      <c r="E130" s="15" t="s">
        <v>198</v>
      </c>
      <c r="F130" s="15" t="s">
        <v>56</v>
      </c>
      <c r="G130" s="15" t="s">
        <v>14</v>
      </c>
      <c r="H130" s="18"/>
      <c r="I130" s="15"/>
      <c r="J130" s="15" t="n">
        <v>0</v>
      </c>
      <c r="K130" s="18" t="str">
        <f aca="false">IF(J130&gt;=5,"Done",IF(H130="","",H130+CHOOSE(J130+1,1,3,7,21,60)))</f>
        <v/>
      </c>
      <c r="L130" s="16"/>
    </row>
    <row r="131" customFormat="false" ht="15" hidden="false" customHeight="false" outlineLevel="0" collapsed="false">
      <c r="A131" s="15" t="n">
        <v>130</v>
      </c>
      <c r="B131" s="15" t="n">
        <v>11</v>
      </c>
      <c r="C131" s="16" t="s">
        <v>109</v>
      </c>
      <c r="D131" s="17" t="s">
        <v>311</v>
      </c>
      <c r="E131" s="15" t="s">
        <v>185</v>
      </c>
      <c r="F131" s="15" t="s">
        <v>56</v>
      </c>
      <c r="G131" s="15" t="s">
        <v>14</v>
      </c>
      <c r="H131" s="18"/>
      <c r="I131" s="15"/>
      <c r="J131" s="15" t="n">
        <v>0</v>
      </c>
      <c r="K131" s="18" t="str">
        <f aca="false">IF(J131&gt;=5,"Done",IF(H131="","",H131+CHOOSE(J131+1,1,3,7,21,60)))</f>
        <v/>
      </c>
      <c r="L131" s="16"/>
    </row>
    <row r="132" customFormat="false" ht="15" hidden="false" customHeight="false" outlineLevel="0" collapsed="false">
      <c r="A132" s="15" t="n">
        <v>131</v>
      </c>
      <c r="B132" s="15" t="n">
        <v>11</v>
      </c>
      <c r="C132" s="16" t="s">
        <v>109</v>
      </c>
      <c r="D132" s="17" t="s">
        <v>312</v>
      </c>
      <c r="E132" s="15" t="s">
        <v>185</v>
      </c>
      <c r="F132" s="15" t="s">
        <v>58</v>
      </c>
      <c r="G132" s="15" t="s">
        <v>14</v>
      </c>
      <c r="H132" s="18"/>
      <c r="I132" s="15"/>
      <c r="J132" s="15" t="n">
        <v>0</v>
      </c>
      <c r="K132" s="18" t="str">
        <f aca="false">IF(J132&gt;=5,"Done",IF(H132="","",H132+CHOOSE(J132+1,1,3,7,21,60)))</f>
        <v/>
      </c>
      <c r="L132" s="16"/>
    </row>
    <row r="133" customFormat="false" ht="15" hidden="false" customHeight="false" outlineLevel="0" collapsed="false">
      <c r="A133" s="15" t="n">
        <v>132</v>
      </c>
      <c r="B133" s="15" t="n">
        <v>11</v>
      </c>
      <c r="C133" s="16" t="s">
        <v>109</v>
      </c>
      <c r="D133" s="17" t="s">
        <v>313</v>
      </c>
      <c r="E133" s="15" t="s">
        <v>181</v>
      </c>
      <c r="F133" s="15" t="s">
        <v>58</v>
      </c>
      <c r="G133" s="15" t="s">
        <v>14</v>
      </c>
      <c r="H133" s="18"/>
      <c r="I133" s="15"/>
      <c r="J133" s="15" t="n">
        <v>0</v>
      </c>
      <c r="K133" s="18" t="str">
        <f aca="false">IF(J133&gt;=5,"Done",IF(H133="","",H133+CHOOSE(J133+1,1,3,7,21,60)))</f>
        <v/>
      </c>
      <c r="L133" s="16"/>
    </row>
    <row r="134" customFormat="false" ht="15" hidden="false" customHeight="false" outlineLevel="0" collapsed="false">
      <c r="A134" s="15" t="n">
        <v>133</v>
      </c>
      <c r="B134" s="15" t="n">
        <v>11</v>
      </c>
      <c r="C134" s="16" t="s">
        <v>109</v>
      </c>
      <c r="D134" s="17" t="s">
        <v>314</v>
      </c>
      <c r="E134" s="15" t="s">
        <v>185</v>
      </c>
      <c r="F134" s="15" t="s">
        <v>58</v>
      </c>
      <c r="G134" s="15" t="s">
        <v>14</v>
      </c>
      <c r="H134" s="18"/>
      <c r="I134" s="15"/>
      <c r="J134" s="15" t="n">
        <v>0</v>
      </c>
      <c r="K134" s="18" t="str">
        <f aca="false">IF(J134&gt;=5,"Done",IF(H134="","",H134+CHOOSE(J134+1,1,3,7,21,60)))</f>
        <v/>
      </c>
      <c r="L134" s="16"/>
    </row>
    <row r="135" customFormat="false" ht="15" hidden="false" customHeight="false" outlineLevel="0" collapsed="false">
      <c r="A135" s="15" t="n">
        <v>134</v>
      </c>
      <c r="B135" s="15" t="n">
        <v>11</v>
      </c>
      <c r="C135" s="16" t="s">
        <v>109</v>
      </c>
      <c r="D135" s="17" t="s">
        <v>315</v>
      </c>
      <c r="E135" s="15" t="s">
        <v>185</v>
      </c>
      <c r="F135" s="15" t="s">
        <v>58</v>
      </c>
      <c r="G135" s="15" t="s">
        <v>14</v>
      </c>
      <c r="H135" s="18"/>
      <c r="I135" s="15"/>
      <c r="J135" s="15" t="n">
        <v>0</v>
      </c>
      <c r="K135" s="18" t="str">
        <f aca="false">IF(J135&gt;=5,"Done",IF(H135="","",H135+CHOOSE(J135+1,1,3,7,21,60)))</f>
        <v/>
      </c>
      <c r="L135" s="16"/>
    </row>
    <row r="136" customFormat="false" ht="15" hidden="false" customHeight="false" outlineLevel="0" collapsed="false">
      <c r="A136" s="15" t="n">
        <v>135</v>
      </c>
      <c r="B136" s="15" t="n">
        <v>11</v>
      </c>
      <c r="C136" s="16" t="s">
        <v>109</v>
      </c>
      <c r="D136" s="17" t="s">
        <v>316</v>
      </c>
      <c r="E136" s="15" t="s">
        <v>198</v>
      </c>
      <c r="F136" s="15" t="s">
        <v>58</v>
      </c>
      <c r="G136" s="15" t="s">
        <v>14</v>
      </c>
      <c r="H136" s="18"/>
      <c r="I136" s="15"/>
      <c r="J136" s="15" t="n">
        <v>0</v>
      </c>
      <c r="K136" s="18" t="str">
        <f aca="false">IF(J136&gt;=5,"Done",IF(H136="","",H136+CHOOSE(J136+1,1,3,7,21,60)))</f>
        <v/>
      </c>
      <c r="L136" s="16"/>
    </row>
    <row r="137" customFormat="false" ht="15" hidden="false" customHeight="false" outlineLevel="0" collapsed="false">
      <c r="A137" s="15" t="n">
        <v>136</v>
      </c>
      <c r="B137" s="15" t="n">
        <v>11</v>
      </c>
      <c r="C137" s="16" t="s">
        <v>109</v>
      </c>
      <c r="D137" s="17" t="s">
        <v>317</v>
      </c>
      <c r="E137" s="15" t="s">
        <v>198</v>
      </c>
      <c r="F137" s="15" t="s">
        <v>58</v>
      </c>
      <c r="G137" s="15" t="s">
        <v>14</v>
      </c>
      <c r="H137" s="18"/>
      <c r="I137" s="15"/>
      <c r="J137" s="15" t="n">
        <v>0</v>
      </c>
      <c r="K137" s="18" t="str">
        <f aca="false">IF(J137&gt;=5,"Done",IF(H137="","",H137+CHOOSE(J137+1,1,3,7,21,60)))</f>
        <v/>
      </c>
      <c r="L137" s="16"/>
    </row>
    <row r="138" customFormat="false" ht="15" hidden="false" customHeight="false" outlineLevel="0" collapsed="false">
      <c r="A138" s="15" t="n">
        <v>137</v>
      </c>
      <c r="B138" s="15" t="n">
        <v>11</v>
      </c>
      <c r="C138" s="16" t="s">
        <v>109</v>
      </c>
      <c r="D138" s="17" t="s">
        <v>318</v>
      </c>
      <c r="E138" s="15" t="s">
        <v>198</v>
      </c>
      <c r="F138" s="15" t="s">
        <v>58</v>
      </c>
      <c r="G138" s="15" t="s">
        <v>14</v>
      </c>
      <c r="H138" s="18"/>
      <c r="I138" s="15"/>
      <c r="J138" s="15" t="n">
        <v>0</v>
      </c>
      <c r="K138" s="18" t="str">
        <f aca="false">IF(J138&gt;=5,"Done",IF(H138="","",H138+CHOOSE(J138+1,1,3,7,21,60)))</f>
        <v/>
      </c>
      <c r="L138" s="16"/>
    </row>
    <row r="139" customFormat="false" ht="15" hidden="false" customHeight="false" outlineLevel="0" collapsed="false">
      <c r="A139" s="15" t="n">
        <v>138</v>
      </c>
      <c r="B139" s="15" t="n">
        <v>12</v>
      </c>
      <c r="C139" s="16" t="s">
        <v>111</v>
      </c>
      <c r="D139" s="17" t="s">
        <v>319</v>
      </c>
      <c r="E139" s="15" t="s">
        <v>185</v>
      </c>
      <c r="F139" s="15" t="s">
        <v>56</v>
      </c>
      <c r="G139" s="15" t="s">
        <v>14</v>
      </c>
      <c r="H139" s="18"/>
      <c r="I139" s="15"/>
      <c r="J139" s="15" t="n">
        <v>0</v>
      </c>
      <c r="K139" s="18" t="str">
        <f aca="false">IF(J139&gt;=5,"Done",IF(H139="","",H139+CHOOSE(J139+1,1,3,7,21,60)))</f>
        <v/>
      </c>
      <c r="L139" s="16"/>
    </row>
    <row r="140" customFormat="false" ht="15" hidden="false" customHeight="false" outlineLevel="0" collapsed="false">
      <c r="A140" s="15" t="n">
        <v>139</v>
      </c>
      <c r="B140" s="15" t="n">
        <v>12</v>
      </c>
      <c r="C140" s="16" t="s">
        <v>111</v>
      </c>
      <c r="D140" s="17" t="s">
        <v>320</v>
      </c>
      <c r="E140" s="15" t="s">
        <v>185</v>
      </c>
      <c r="F140" s="15" t="s">
        <v>58</v>
      </c>
      <c r="G140" s="15" t="s">
        <v>14</v>
      </c>
      <c r="H140" s="18"/>
      <c r="I140" s="15"/>
      <c r="J140" s="15" t="n">
        <v>0</v>
      </c>
      <c r="K140" s="18" t="str">
        <f aca="false">IF(J140&gt;=5,"Done",IF(H140="","",H140+CHOOSE(J140+1,1,3,7,21,60)))</f>
        <v/>
      </c>
      <c r="L140" s="16"/>
    </row>
    <row r="141" customFormat="false" ht="15" hidden="false" customHeight="false" outlineLevel="0" collapsed="false">
      <c r="A141" s="15" t="n">
        <v>140</v>
      </c>
      <c r="B141" s="15" t="n">
        <v>12</v>
      </c>
      <c r="C141" s="16" t="s">
        <v>111</v>
      </c>
      <c r="D141" s="17" t="s">
        <v>321</v>
      </c>
      <c r="E141" s="15" t="s">
        <v>185</v>
      </c>
      <c r="F141" s="15" t="s">
        <v>56</v>
      </c>
      <c r="G141" s="15" t="s">
        <v>14</v>
      </c>
      <c r="H141" s="18"/>
      <c r="I141" s="15"/>
      <c r="J141" s="15" t="n">
        <v>0</v>
      </c>
      <c r="K141" s="18" t="str">
        <f aca="false">IF(J141&gt;=5,"Done",IF(H141="","",H141+CHOOSE(J141+1,1,3,7,21,60)))</f>
        <v/>
      </c>
      <c r="L141" s="16"/>
    </row>
    <row r="142" customFormat="false" ht="15" hidden="false" customHeight="false" outlineLevel="0" collapsed="false">
      <c r="A142" s="15" t="n">
        <v>141</v>
      </c>
      <c r="B142" s="15" t="n">
        <v>12</v>
      </c>
      <c r="C142" s="16" t="s">
        <v>111</v>
      </c>
      <c r="D142" s="17" t="s">
        <v>322</v>
      </c>
      <c r="E142" s="15" t="s">
        <v>185</v>
      </c>
      <c r="F142" s="15" t="s">
        <v>58</v>
      </c>
      <c r="G142" s="15" t="s">
        <v>14</v>
      </c>
      <c r="H142" s="18"/>
      <c r="I142" s="15"/>
      <c r="J142" s="15" t="n">
        <v>0</v>
      </c>
      <c r="K142" s="18" t="str">
        <f aca="false">IF(J142&gt;=5,"Done",IF(H142="","",H142+CHOOSE(J142+1,1,3,7,21,60)))</f>
        <v/>
      </c>
      <c r="L142" s="16"/>
    </row>
    <row r="143" customFormat="false" ht="15" hidden="false" customHeight="false" outlineLevel="0" collapsed="false">
      <c r="A143" s="15" t="n">
        <v>142</v>
      </c>
      <c r="B143" s="15" t="n">
        <v>12</v>
      </c>
      <c r="C143" s="16" t="s">
        <v>111</v>
      </c>
      <c r="D143" s="17" t="s">
        <v>323</v>
      </c>
      <c r="E143" s="15" t="s">
        <v>185</v>
      </c>
      <c r="F143" s="15" t="s">
        <v>56</v>
      </c>
      <c r="G143" s="15" t="s">
        <v>14</v>
      </c>
      <c r="H143" s="18"/>
      <c r="I143" s="15"/>
      <c r="J143" s="15" t="n">
        <v>0</v>
      </c>
      <c r="K143" s="18" t="str">
        <f aca="false">IF(J143&gt;=5,"Done",IF(H143="","",H143+CHOOSE(J143+1,1,3,7,21,60)))</f>
        <v/>
      </c>
      <c r="L143" s="16"/>
    </row>
    <row r="144" customFormat="false" ht="15" hidden="false" customHeight="false" outlineLevel="0" collapsed="false">
      <c r="A144" s="15" t="n">
        <v>143</v>
      </c>
      <c r="B144" s="15" t="n">
        <v>12</v>
      </c>
      <c r="C144" s="16" t="s">
        <v>111</v>
      </c>
      <c r="D144" s="17" t="s">
        <v>324</v>
      </c>
      <c r="E144" s="15" t="s">
        <v>185</v>
      </c>
      <c r="F144" s="15" t="s">
        <v>56</v>
      </c>
      <c r="G144" s="15" t="s">
        <v>14</v>
      </c>
      <c r="H144" s="18"/>
      <c r="I144" s="15"/>
      <c r="J144" s="15" t="n">
        <v>0</v>
      </c>
      <c r="K144" s="18" t="str">
        <f aca="false">IF(J144&gt;=5,"Done",IF(H144="","",H144+CHOOSE(J144+1,1,3,7,21,60)))</f>
        <v/>
      </c>
      <c r="L144" s="16"/>
    </row>
    <row r="145" customFormat="false" ht="15" hidden="false" customHeight="false" outlineLevel="0" collapsed="false">
      <c r="A145" s="15" t="n">
        <v>144</v>
      </c>
      <c r="B145" s="15" t="n">
        <v>12</v>
      </c>
      <c r="C145" s="16" t="s">
        <v>111</v>
      </c>
      <c r="D145" s="17" t="s">
        <v>325</v>
      </c>
      <c r="E145" s="15" t="s">
        <v>185</v>
      </c>
      <c r="F145" s="15" t="s">
        <v>58</v>
      </c>
      <c r="G145" s="15" t="s">
        <v>14</v>
      </c>
      <c r="H145" s="18"/>
      <c r="I145" s="15"/>
      <c r="J145" s="15" t="n">
        <v>0</v>
      </c>
      <c r="K145" s="18" t="str">
        <f aca="false">IF(J145&gt;=5,"Done",IF(H145="","",H145+CHOOSE(J145+1,1,3,7,21,60)))</f>
        <v/>
      </c>
      <c r="L145" s="16"/>
    </row>
    <row r="146" customFormat="false" ht="15" hidden="false" customHeight="false" outlineLevel="0" collapsed="false">
      <c r="A146" s="15" t="n">
        <v>145</v>
      </c>
      <c r="B146" s="15" t="n">
        <v>12</v>
      </c>
      <c r="C146" s="16" t="s">
        <v>111</v>
      </c>
      <c r="D146" s="17" t="s">
        <v>326</v>
      </c>
      <c r="E146" s="15" t="s">
        <v>185</v>
      </c>
      <c r="F146" s="15" t="s">
        <v>58</v>
      </c>
      <c r="G146" s="15" t="s">
        <v>14</v>
      </c>
      <c r="H146" s="18"/>
      <c r="I146" s="15"/>
      <c r="J146" s="15" t="n">
        <v>0</v>
      </c>
      <c r="K146" s="18" t="str">
        <f aca="false">IF(J146&gt;=5,"Done",IF(H146="","",H146+CHOOSE(J146+1,1,3,7,21,60)))</f>
        <v/>
      </c>
      <c r="L146" s="16"/>
    </row>
    <row r="147" customFormat="false" ht="15" hidden="false" customHeight="false" outlineLevel="0" collapsed="false">
      <c r="A147" s="15" t="n">
        <v>146</v>
      </c>
      <c r="B147" s="15" t="n">
        <v>12</v>
      </c>
      <c r="C147" s="16" t="s">
        <v>111</v>
      </c>
      <c r="D147" s="17" t="s">
        <v>327</v>
      </c>
      <c r="E147" s="15" t="s">
        <v>185</v>
      </c>
      <c r="F147" s="15" t="s">
        <v>56</v>
      </c>
      <c r="G147" s="15" t="s">
        <v>14</v>
      </c>
      <c r="H147" s="18"/>
      <c r="I147" s="15"/>
      <c r="J147" s="15" t="n">
        <v>0</v>
      </c>
      <c r="K147" s="18" t="str">
        <f aca="false">IF(J147&gt;=5,"Done",IF(H147="","",H147+CHOOSE(J147+1,1,3,7,21,60)))</f>
        <v/>
      </c>
      <c r="L147" s="16"/>
    </row>
    <row r="148" customFormat="false" ht="15" hidden="false" customHeight="false" outlineLevel="0" collapsed="false">
      <c r="A148" s="15" t="n">
        <v>147</v>
      </c>
      <c r="B148" s="15" t="n">
        <v>12</v>
      </c>
      <c r="C148" s="16" t="s">
        <v>111</v>
      </c>
      <c r="D148" s="17" t="s">
        <v>328</v>
      </c>
      <c r="E148" s="15" t="s">
        <v>185</v>
      </c>
      <c r="F148" s="15" t="s">
        <v>56</v>
      </c>
      <c r="G148" s="15" t="s">
        <v>14</v>
      </c>
      <c r="H148" s="18"/>
      <c r="I148" s="15"/>
      <c r="J148" s="15" t="n">
        <v>0</v>
      </c>
      <c r="K148" s="18" t="str">
        <f aca="false">IF(J148&gt;=5,"Done",IF(H148="","",H148+CHOOSE(J148+1,1,3,7,21,60)))</f>
        <v/>
      </c>
      <c r="L148" s="16"/>
    </row>
    <row r="149" customFormat="false" ht="15" hidden="false" customHeight="false" outlineLevel="0" collapsed="false">
      <c r="A149" s="15" t="n">
        <v>148</v>
      </c>
      <c r="B149" s="15" t="n">
        <v>12</v>
      </c>
      <c r="C149" s="16" t="s">
        <v>111</v>
      </c>
      <c r="D149" s="17" t="s">
        <v>329</v>
      </c>
      <c r="E149" s="15" t="s">
        <v>185</v>
      </c>
      <c r="F149" s="15" t="s">
        <v>56</v>
      </c>
      <c r="G149" s="15" t="s">
        <v>14</v>
      </c>
      <c r="H149" s="18"/>
      <c r="I149" s="15"/>
      <c r="J149" s="15" t="n">
        <v>0</v>
      </c>
      <c r="K149" s="18" t="str">
        <f aca="false">IF(J149&gt;=5,"Done",IF(H149="","",H149+CHOOSE(J149+1,1,3,7,21,60)))</f>
        <v/>
      </c>
      <c r="L149" s="16"/>
    </row>
    <row r="150" customFormat="false" ht="15" hidden="false" customHeight="false" outlineLevel="0" collapsed="false">
      <c r="A150" s="15" t="n">
        <v>149</v>
      </c>
      <c r="B150" s="15" t="n">
        <v>12</v>
      </c>
      <c r="C150" s="16" t="s">
        <v>111</v>
      </c>
      <c r="D150" s="17" t="s">
        <v>330</v>
      </c>
      <c r="E150" s="15" t="s">
        <v>185</v>
      </c>
      <c r="F150" s="15" t="s">
        <v>58</v>
      </c>
      <c r="G150" s="15" t="s">
        <v>14</v>
      </c>
      <c r="H150" s="18"/>
      <c r="I150" s="15"/>
      <c r="J150" s="15" t="n">
        <v>0</v>
      </c>
      <c r="K150" s="18" t="str">
        <f aca="false">IF(J150&gt;=5,"Done",IF(H150="","",H150+CHOOSE(J150+1,1,3,7,21,60)))</f>
        <v/>
      </c>
      <c r="L150" s="16"/>
    </row>
    <row r="151" customFormat="false" ht="15" hidden="false" customHeight="false" outlineLevel="0" collapsed="false">
      <c r="A151" s="15" t="n">
        <v>150</v>
      </c>
      <c r="B151" s="15" t="n">
        <v>13</v>
      </c>
      <c r="C151" s="16" t="s">
        <v>113</v>
      </c>
      <c r="D151" s="17" t="s">
        <v>331</v>
      </c>
      <c r="E151" s="15" t="s">
        <v>198</v>
      </c>
      <c r="F151" s="15" t="s">
        <v>56</v>
      </c>
      <c r="G151" s="15" t="s">
        <v>14</v>
      </c>
      <c r="H151" s="18"/>
      <c r="I151" s="15"/>
      <c r="J151" s="15" t="n">
        <v>0</v>
      </c>
      <c r="K151" s="18" t="str">
        <f aca="false">IF(J151&gt;=5,"Done",IF(H151="","",H151+CHOOSE(J151+1,1,3,7,21,60)))</f>
        <v/>
      </c>
      <c r="L151" s="16"/>
    </row>
    <row r="152" customFormat="false" ht="15" hidden="false" customHeight="false" outlineLevel="0" collapsed="false">
      <c r="A152" s="15" t="n">
        <v>151</v>
      </c>
      <c r="B152" s="15" t="n">
        <v>13</v>
      </c>
      <c r="C152" s="16" t="s">
        <v>113</v>
      </c>
      <c r="D152" s="17" t="s">
        <v>332</v>
      </c>
      <c r="E152" s="15" t="s">
        <v>198</v>
      </c>
      <c r="F152" s="15" t="s">
        <v>58</v>
      </c>
      <c r="G152" s="15" t="s">
        <v>14</v>
      </c>
      <c r="H152" s="18"/>
      <c r="I152" s="15"/>
      <c r="J152" s="15" t="n">
        <v>0</v>
      </c>
      <c r="K152" s="18" t="str">
        <f aca="false">IF(J152&gt;=5,"Done",IF(H152="","",H152+CHOOSE(J152+1,1,3,7,21,60)))</f>
        <v/>
      </c>
      <c r="L152" s="16"/>
    </row>
    <row r="153" customFormat="false" ht="15" hidden="false" customHeight="false" outlineLevel="0" collapsed="false">
      <c r="A153" s="15" t="n">
        <v>152</v>
      </c>
      <c r="B153" s="15" t="n">
        <v>13</v>
      </c>
      <c r="C153" s="16" t="s">
        <v>113</v>
      </c>
      <c r="D153" s="17" t="s">
        <v>333</v>
      </c>
      <c r="E153" s="15" t="s">
        <v>185</v>
      </c>
      <c r="F153" s="15" t="s">
        <v>56</v>
      </c>
      <c r="G153" s="15" t="s">
        <v>14</v>
      </c>
      <c r="H153" s="18"/>
      <c r="I153" s="15"/>
      <c r="J153" s="15" t="n">
        <v>0</v>
      </c>
      <c r="K153" s="18" t="str">
        <f aca="false">IF(J153&gt;=5,"Done",IF(H153="","",H153+CHOOSE(J153+1,1,3,7,21,60)))</f>
        <v/>
      </c>
      <c r="L153" s="16"/>
    </row>
    <row r="154" customFormat="false" ht="15" hidden="false" customHeight="false" outlineLevel="0" collapsed="false">
      <c r="A154" s="15" t="n">
        <v>153</v>
      </c>
      <c r="B154" s="15" t="n">
        <v>13</v>
      </c>
      <c r="C154" s="16" t="s">
        <v>113</v>
      </c>
      <c r="D154" s="17" t="s">
        <v>334</v>
      </c>
      <c r="E154" s="15" t="s">
        <v>185</v>
      </c>
      <c r="F154" s="15" t="s">
        <v>58</v>
      </c>
      <c r="G154" s="15" t="s">
        <v>14</v>
      </c>
      <c r="H154" s="18"/>
      <c r="I154" s="15"/>
      <c r="J154" s="15" t="n">
        <v>0</v>
      </c>
      <c r="K154" s="18" t="str">
        <f aca="false">IF(J154&gt;=5,"Done",IF(H154="","",H154+CHOOSE(J154+1,1,3,7,21,60)))</f>
        <v/>
      </c>
      <c r="L154" s="16"/>
    </row>
    <row r="155" customFormat="false" ht="15" hidden="false" customHeight="false" outlineLevel="0" collapsed="false">
      <c r="A155" s="15" t="n">
        <v>154</v>
      </c>
      <c r="B155" s="15" t="n">
        <v>13</v>
      </c>
      <c r="C155" s="16" t="s">
        <v>113</v>
      </c>
      <c r="D155" s="17" t="s">
        <v>335</v>
      </c>
      <c r="E155" s="15" t="s">
        <v>185</v>
      </c>
      <c r="F155" s="15" t="s">
        <v>58</v>
      </c>
      <c r="G155" s="15" t="s">
        <v>14</v>
      </c>
      <c r="H155" s="18"/>
      <c r="I155" s="15"/>
      <c r="J155" s="15" t="n">
        <v>0</v>
      </c>
      <c r="K155" s="18" t="str">
        <f aca="false">IF(J155&gt;=5,"Done",IF(H155="","",H155+CHOOSE(J155+1,1,3,7,21,60)))</f>
        <v/>
      </c>
      <c r="L155" s="16"/>
    </row>
    <row r="156" customFormat="false" ht="15" hidden="false" customHeight="false" outlineLevel="0" collapsed="false">
      <c r="A156" s="15" t="n">
        <v>155</v>
      </c>
      <c r="B156" s="15" t="n">
        <v>13</v>
      </c>
      <c r="C156" s="16" t="s">
        <v>113</v>
      </c>
      <c r="D156" s="17" t="s">
        <v>336</v>
      </c>
      <c r="E156" s="15" t="s">
        <v>198</v>
      </c>
      <c r="F156" s="15" t="s">
        <v>58</v>
      </c>
      <c r="G156" s="15" t="s">
        <v>14</v>
      </c>
      <c r="H156" s="18"/>
      <c r="I156" s="15"/>
      <c r="J156" s="15" t="n">
        <v>0</v>
      </c>
      <c r="K156" s="18" t="str">
        <f aca="false">IF(J156&gt;=5,"Done",IF(H156="","",H156+CHOOSE(J156+1,1,3,7,21,60)))</f>
        <v/>
      </c>
      <c r="L156" s="16"/>
    </row>
    <row r="157" customFormat="false" ht="15" hidden="false" customHeight="false" outlineLevel="0" collapsed="false">
      <c r="A157" s="15" t="n">
        <v>156</v>
      </c>
      <c r="B157" s="15" t="n">
        <v>13</v>
      </c>
      <c r="C157" s="16" t="s">
        <v>113</v>
      </c>
      <c r="D157" s="17" t="s">
        <v>337</v>
      </c>
      <c r="E157" s="15" t="s">
        <v>185</v>
      </c>
      <c r="F157" s="15" t="s">
        <v>58</v>
      </c>
      <c r="G157" s="15" t="s">
        <v>14</v>
      </c>
      <c r="H157" s="18"/>
      <c r="I157" s="15"/>
      <c r="J157" s="15" t="n">
        <v>0</v>
      </c>
      <c r="K157" s="18" t="str">
        <f aca="false">IF(J157&gt;=5,"Done",IF(H157="","",H157+CHOOSE(J157+1,1,3,7,21,60)))</f>
        <v/>
      </c>
      <c r="L157" s="16"/>
    </row>
    <row r="158" customFormat="false" ht="15" hidden="false" customHeight="false" outlineLevel="0" collapsed="false">
      <c r="A158" s="15" t="n">
        <v>157</v>
      </c>
      <c r="B158" s="15" t="n">
        <v>13</v>
      </c>
      <c r="C158" s="16" t="s">
        <v>113</v>
      </c>
      <c r="D158" s="17" t="s">
        <v>338</v>
      </c>
      <c r="E158" s="15" t="s">
        <v>185</v>
      </c>
      <c r="F158" s="15" t="s">
        <v>58</v>
      </c>
      <c r="G158" s="15" t="s">
        <v>14</v>
      </c>
      <c r="H158" s="18"/>
      <c r="I158" s="15"/>
      <c r="J158" s="15" t="n">
        <v>0</v>
      </c>
      <c r="K158" s="18" t="str">
        <f aca="false">IF(J158&gt;=5,"Done",IF(H158="","",H158+CHOOSE(J158+1,1,3,7,21,60)))</f>
        <v/>
      </c>
      <c r="L158" s="16"/>
    </row>
    <row r="159" customFormat="false" ht="15" hidden="false" customHeight="false" outlineLevel="0" collapsed="false">
      <c r="A159" s="15" t="n">
        <v>158</v>
      </c>
      <c r="B159" s="15" t="n">
        <v>13</v>
      </c>
      <c r="C159" s="16" t="s">
        <v>113</v>
      </c>
      <c r="D159" s="17" t="s">
        <v>339</v>
      </c>
      <c r="E159" s="15" t="s">
        <v>198</v>
      </c>
      <c r="F159" s="15" t="s">
        <v>58</v>
      </c>
      <c r="G159" s="15" t="s">
        <v>14</v>
      </c>
      <c r="H159" s="18"/>
      <c r="I159" s="15"/>
      <c r="J159" s="15" t="n">
        <v>0</v>
      </c>
      <c r="K159" s="18" t="str">
        <f aca="false">IF(J159&gt;=5,"Done",IF(H159="","",H159+CHOOSE(J159+1,1,3,7,21,60)))</f>
        <v/>
      </c>
      <c r="L159" s="16"/>
    </row>
    <row r="160" customFormat="false" ht="15" hidden="false" customHeight="false" outlineLevel="0" collapsed="false">
      <c r="A160" s="15" t="n">
        <v>159</v>
      </c>
      <c r="B160" s="15" t="n">
        <v>14</v>
      </c>
      <c r="C160" s="16" t="s">
        <v>115</v>
      </c>
      <c r="D160" s="17" t="s">
        <v>340</v>
      </c>
      <c r="E160" s="15" t="s">
        <v>185</v>
      </c>
      <c r="F160" s="15" t="s">
        <v>56</v>
      </c>
      <c r="G160" s="15" t="s">
        <v>14</v>
      </c>
      <c r="H160" s="18"/>
      <c r="I160" s="15"/>
      <c r="J160" s="15" t="n">
        <v>0</v>
      </c>
      <c r="K160" s="18" t="str">
        <f aca="false">IF(J160&gt;=5,"Done",IF(H160="","",H160+CHOOSE(J160+1,1,3,7,21,60)))</f>
        <v/>
      </c>
      <c r="L160" s="16"/>
    </row>
    <row r="161" customFormat="false" ht="15" hidden="false" customHeight="false" outlineLevel="0" collapsed="false">
      <c r="A161" s="15" t="n">
        <v>160</v>
      </c>
      <c r="B161" s="15" t="n">
        <v>14</v>
      </c>
      <c r="C161" s="16" t="s">
        <v>115</v>
      </c>
      <c r="D161" s="17" t="s">
        <v>341</v>
      </c>
      <c r="E161" s="15" t="s">
        <v>185</v>
      </c>
      <c r="F161" s="15" t="s">
        <v>56</v>
      </c>
      <c r="G161" s="15" t="s">
        <v>14</v>
      </c>
      <c r="H161" s="18"/>
      <c r="I161" s="15"/>
      <c r="J161" s="15" t="n">
        <v>0</v>
      </c>
      <c r="K161" s="18" t="str">
        <f aca="false">IF(J161&gt;=5,"Done",IF(H161="","",H161+CHOOSE(J161+1,1,3,7,21,60)))</f>
        <v/>
      </c>
      <c r="L161" s="16"/>
    </row>
    <row r="162" customFormat="false" ht="15" hidden="false" customHeight="false" outlineLevel="0" collapsed="false">
      <c r="A162" s="15" t="n">
        <v>161</v>
      </c>
      <c r="B162" s="15" t="n">
        <v>14</v>
      </c>
      <c r="C162" s="16" t="s">
        <v>115</v>
      </c>
      <c r="D162" s="17" t="s">
        <v>342</v>
      </c>
      <c r="E162" s="15" t="s">
        <v>185</v>
      </c>
      <c r="F162" s="15" t="s">
        <v>56</v>
      </c>
      <c r="G162" s="15" t="s">
        <v>14</v>
      </c>
      <c r="H162" s="18"/>
      <c r="I162" s="15"/>
      <c r="J162" s="15" t="n">
        <v>0</v>
      </c>
      <c r="K162" s="18" t="str">
        <f aca="false">IF(J162&gt;=5,"Done",IF(H162="","",H162+CHOOSE(J162+1,1,3,7,21,60)))</f>
        <v/>
      </c>
      <c r="L162" s="16"/>
    </row>
    <row r="163" customFormat="false" ht="15" hidden="false" customHeight="false" outlineLevel="0" collapsed="false">
      <c r="A163" s="15" t="n">
        <v>162</v>
      </c>
      <c r="B163" s="15" t="n">
        <v>14</v>
      </c>
      <c r="C163" s="16" t="s">
        <v>115</v>
      </c>
      <c r="D163" s="17" t="s">
        <v>343</v>
      </c>
      <c r="E163" s="15" t="s">
        <v>185</v>
      </c>
      <c r="F163" s="15" t="s">
        <v>58</v>
      </c>
      <c r="G163" s="15" t="s">
        <v>14</v>
      </c>
      <c r="H163" s="18"/>
      <c r="I163" s="15"/>
      <c r="J163" s="15" t="n">
        <v>0</v>
      </c>
      <c r="K163" s="18" t="str">
        <f aca="false">IF(J163&gt;=5,"Done",IF(H163="","",H163+CHOOSE(J163+1,1,3,7,21,60)))</f>
        <v/>
      </c>
      <c r="L163" s="16"/>
    </row>
    <row r="164" customFormat="false" ht="15" hidden="false" customHeight="false" outlineLevel="0" collapsed="false">
      <c r="A164" s="15" t="n">
        <v>163</v>
      </c>
      <c r="B164" s="15" t="n">
        <v>14</v>
      </c>
      <c r="C164" s="16" t="s">
        <v>115</v>
      </c>
      <c r="D164" s="17" t="s">
        <v>344</v>
      </c>
      <c r="E164" s="15" t="s">
        <v>185</v>
      </c>
      <c r="F164" s="15" t="s">
        <v>58</v>
      </c>
      <c r="G164" s="15" t="s">
        <v>14</v>
      </c>
      <c r="H164" s="18"/>
      <c r="I164" s="15"/>
      <c r="J164" s="15" t="n">
        <v>0</v>
      </c>
      <c r="K164" s="18" t="str">
        <f aca="false">IF(J164&gt;=5,"Done",IF(H164="","",H164+CHOOSE(J164+1,1,3,7,21,60)))</f>
        <v/>
      </c>
      <c r="L164" s="16"/>
    </row>
    <row r="165" customFormat="false" ht="15" hidden="false" customHeight="false" outlineLevel="0" collapsed="false">
      <c r="A165" s="15" t="n">
        <v>164</v>
      </c>
      <c r="B165" s="15" t="n">
        <v>14</v>
      </c>
      <c r="C165" s="16" t="s">
        <v>115</v>
      </c>
      <c r="D165" s="17" t="s">
        <v>345</v>
      </c>
      <c r="E165" s="15" t="s">
        <v>185</v>
      </c>
      <c r="F165" s="15" t="s">
        <v>56</v>
      </c>
      <c r="G165" s="15" t="s">
        <v>14</v>
      </c>
      <c r="H165" s="18"/>
      <c r="I165" s="15"/>
      <c r="J165" s="15" t="n">
        <v>0</v>
      </c>
      <c r="K165" s="18" t="str">
        <f aca="false">IF(J165&gt;=5,"Done",IF(H165="","",H165+CHOOSE(J165+1,1,3,7,21,60)))</f>
        <v/>
      </c>
      <c r="L165" s="16"/>
    </row>
    <row r="166" customFormat="false" ht="15" hidden="false" customHeight="false" outlineLevel="0" collapsed="false">
      <c r="A166" s="15" t="n">
        <v>165</v>
      </c>
      <c r="B166" s="15" t="n">
        <v>14</v>
      </c>
      <c r="C166" s="16" t="s">
        <v>115</v>
      </c>
      <c r="D166" s="17" t="s">
        <v>346</v>
      </c>
      <c r="E166" s="15" t="s">
        <v>185</v>
      </c>
      <c r="F166" s="15" t="s">
        <v>58</v>
      </c>
      <c r="G166" s="15" t="s">
        <v>14</v>
      </c>
      <c r="H166" s="18"/>
      <c r="I166" s="15"/>
      <c r="J166" s="15" t="n">
        <v>0</v>
      </c>
      <c r="K166" s="18" t="str">
        <f aca="false">IF(J166&gt;=5,"Done",IF(H166="","",H166+CHOOSE(J166+1,1,3,7,21,60)))</f>
        <v/>
      </c>
      <c r="L166" s="16"/>
    </row>
    <row r="167" customFormat="false" ht="15" hidden="false" customHeight="false" outlineLevel="0" collapsed="false">
      <c r="A167" s="15" t="n">
        <v>166</v>
      </c>
      <c r="B167" s="15" t="n">
        <v>14</v>
      </c>
      <c r="C167" s="16" t="s">
        <v>115</v>
      </c>
      <c r="D167" s="17" t="s">
        <v>347</v>
      </c>
      <c r="E167" s="15" t="s">
        <v>185</v>
      </c>
      <c r="F167" s="15" t="s">
        <v>58</v>
      </c>
      <c r="G167" s="15" t="s">
        <v>14</v>
      </c>
      <c r="H167" s="18"/>
      <c r="I167" s="15"/>
      <c r="J167" s="15" t="n">
        <v>0</v>
      </c>
      <c r="K167" s="18" t="str">
        <f aca="false">IF(J167&gt;=5,"Done",IF(H167="","",H167+CHOOSE(J167+1,1,3,7,21,60)))</f>
        <v/>
      </c>
      <c r="L167" s="16"/>
    </row>
    <row r="168" customFormat="false" ht="15" hidden="false" customHeight="false" outlineLevel="0" collapsed="false">
      <c r="A168" s="15" t="n">
        <v>167</v>
      </c>
      <c r="B168" s="15" t="n">
        <v>14</v>
      </c>
      <c r="C168" s="16" t="s">
        <v>115</v>
      </c>
      <c r="D168" s="17" t="s">
        <v>348</v>
      </c>
      <c r="E168" s="15" t="s">
        <v>185</v>
      </c>
      <c r="F168" s="15" t="s">
        <v>58</v>
      </c>
      <c r="G168" s="15" t="s">
        <v>14</v>
      </c>
      <c r="H168" s="18"/>
      <c r="I168" s="15"/>
      <c r="J168" s="15" t="n">
        <v>0</v>
      </c>
      <c r="K168" s="18" t="str">
        <f aca="false">IF(J168&gt;=5,"Done",IF(H168="","",H168+CHOOSE(J168+1,1,3,7,21,60)))</f>
        <v/>
      </c>
      <c r="L168" s="16"/>
    </row>
    <row r="169" customFormat="false" ht="15" hidden="false" customHeight="false" outlineLevel="0" collapsed="false">
      <c r="A169" s="15" t="n">
        <v>168</v>
      </c>
      <c r="B169" s="15" t="n">
        <v>14</v>
      </c>
      <c r="C169" s="16" t="s">
        <v>115</v>
      </c>
      <c r="D169" s="17" t="s">
        <v>349</v>
      </c>
      <c r="E169" s="15" t="s">
        <v>185</v>
      </c>
      <c r="F169" s="15" t="s">
        <v>58</v>
      </c>
      <c r="G169" s="15" t="s">
        <v>14</v>
      </c>
      <c r="H169" s="18"/>
      <c r="I169" s="15"/>
      <c r="J169" s="15" t="n">
        <v>0</v>
      </c>
      <c r="K169" s="18" t="str">
        <f aca="false">IF(J169&gt;=5,"Done",IF(H169="","",H169+CHOOSE(J169+1,1,3,7,21,60)))</f>
        <v/>
      </c>
      <c r="L169" s="16"/>
    </row>
    <row r="170" customFormat="false" ht="15" hidden="false" customHeight="false" outlineLevel="0" collapsed="false">
      <c r="A170" s="15" t="n">
        <v>169</v>
      </c>
      <c r="B170" s="15" t="n">
        <v>14</v>
      </c>
      <c r="C170" s="16" t="s">
        <v>115</v>
      </c>
      <c r="D170" s="17" t="s">
        <v>350</v>
      </c>
      <c r="E170" s="15" t="s">
        <v>198</v>
      </c>
      <c r="F170" s="15" t="s">
        <v>56</v>
      </c>
      <c r="G170" s="15" t="s">
        <v>14</v>
      </c>
      <c r="H170" s="18"/>
      <c r="I170" s="15"/>
      <c r="J170" s="15" t="n">
        <v>0</v>
      </c>
      <c r="K170" s="18" t="str">
        <f aca="false">IF(J170&gt;=5,"Done",IF(H170="","",H170+CHOOSE(J170+1,1,3,7,21,60)))</f>
        <v/>
      </c>
      <c r="L170" s="16"/>
    </row>
    <row r="171" customFormat="false" ht="15" hidden="false" customHeight="false" outlineLevel="0" collapsed="false">
      <c r="A171" s="15" t="n">
        <v>170</v>
      </c>
      <c r="B171" s="15" t="n">
        <v>14</v>
      </c>
      <c r="C171" s="16" t="s">
        <v>115</v>
      </c>
      <c r="D171" s="17" t="s">
        <v>351</v>
      </c>
      <c r="E171" s="15" t="s">
        <v>185</v>
      </c>
      <c r="F171" s="15" t="s">
        <v>58</v>
      </c>
      <c r="G171" s="15" t="s">
        <v>14</v>
      </c>
      <c r="H171" s="18"/>
      <c r="I171" s="15"/>
      <c r="J171" s="15" t="n">
        <v>0</v>
      </c>
      <c r="K171" s="18" t="str">
        <f aca="false">IF(J171&gt;=5,"Done",IF(H171="","",H171+CHOOSE(J171+1,1,3,7,21,60)))</f>
        <v/>
      </c>
      <c r="L171" s="16"/>
    </row>
    <row r="172" customFormat="false" ht="15" hidden="false" customHeight="false" outlineLevel="0" collapsed="false">
      <c r="A172" s="15" t="n">
        <v>171</v>
      </c>
      <c r="B172" s="15" t="n">
        <v>14</v>
      </c>
      <c r="C172" s="16" t="s">
        <v>115</v>
      </c>
      <c r="D172" s="17" t="s">
        <v>352</v>
      </c>
      <c r="E172" s="15" t="s">
        <v>185</v>
      </c>
      <c r="F172" s="15" t="s">
        <v>58</v>
      </c>
      <c r="G172" s="15" t="s">
        <v>14</v>
      </c>
      <c r="H172" s="18"/>
      <c r="I172" s="15"/>
      <c r="J172" s="15" t="n">
        <v>0</v>
      </c>
      <c r="K172" s="18" t="str">
        <f aca="false">IF(J172&gt;=5,"Done",IF(H172="","",H172+CHOOSE(J172+1,1,3,7,21,60)))</f>
        <v/>
      </c>
      <c r="L172" s="16"/>
    </row>
    <row r="173" customFormat="false" ht="15" hidden="false" customHeight="false" outlineLevel="0" collapsed="false">
      <c r="A173" s="15" t="n">
        <v>172</v>
      </c>
      <c r="B173" s="15" t="n">
        <v>14</v>
      </c>
      <c r="C173" s="16" t="s">
        <v>115</v>
      </c>
      <c r="D173" s="17" t="s">
        <v>353</v>
      </c>
      <c r="E173" s="15" t="s">
        <v>185</v>
      </c>
      <c r="F173" s="15" t="s">
        <v>56</v>
      </c>
      <c r="G173" s="15" t="s">
        <v>14</v>
      </c>
      <c r="H173" s="18"/>
      <c r="I173" s="15"/>
      <c r="J173" s="15" t="n">
        <v>0</v>
      </c>
      <c r="K173" s="18" t="str">
        <f aca="false">IF(J173&gt;=5,"Done",IF(H173="","",H173+CHOOSE(J173+1,1,3,7,21,60)))</f>
        <v/>
      </c>
      <c r="L173" s="16"/>
    </row>
    <row r="174" customFormat="false" ht="15" hidden="false" customHeight="false" outlineLevel="0" collapsed="false">
      <c r="A174" s="15" t="n">
        <v>173</v>
      </c>
      <c r="B174" s="15" t="n">
        <v>15</v>
      </c>
      <c r="C174" s="16" t="s">
        <v>117</v>
      </c>
      <c r="D174" s="17" t="s">
        <v>354</v>
      </c>
      <c r="E174" s="15" t="s">
        <v>185</v>
      </c>
      <c r="F174" s="15" t="s">
        <v>56</v>
      </c>
      <c r="G174" s="15" t="s">
        <v>14</v>
      </c>
      <c r="H174" s="18"/>
      <c r="I174" s="15"/>
      <c r="J174" s="15" t="n">
        <v>0</v>
      </c>
      <c r="K174" s="18" t="str">
        <f aca="false">IF(J174&gt;=5,"Done",IF(H174="","",H174+CHOOSE(J174+1,1,3,7,21,60)))</f>
        <v/>
      </c>
      <c r="L174" s="16"/>
    </row>
    <row r="175" customFormat="false" ht="15" hidden="false" customHeight="false" outlineLevel="0" collapsed="false">
      <c r="A175" s="15" t="n">
        <v>174</v>
      </c>
      <c r="B175" s="15" t="n">
        <v>15</v>
      </c>
      <c r="C175" s="16" t="s">
        <v>117</v>
      </c>
      <c r="D175" s="17" t="s">
        <v>355</v>
      </c>
      <c r="E175" s="15" t="s">
        <v>185</v>
      </c>
      <c r="F175" s="15" t="s">
        <v>56</v>
      </c>
      <c r="G175" s="15" t="s">
        <v>14</v>
      </c>
      <c r="H175" s="18"/>
      <c r="I175" s="15"/>
      <c r="J175" s="15" t="n">
        <v>0</v>
      </c>
      <c r="K175" s="18" t="str">
        <f aca="false">IF(J175&gt;=5,"Done",IF(H175="","",H175+CHOOSE(J175+1,1,3,7,21,60)))</f>
        <v/>
      </c>
      <c r="L175" s="16"/>
    </row>
    <row r="176" customFormat="false" ht="15" hidden="false" customHeight="false" outlineLevel="0" collapsed="false">
      <c r="A176" s="15" t="n">
        <v>175</v>
      </c>
      <c r="B176" s="15" t="n">
        <v>15</v>
      </c>
      <c r="C176" s="16" t="s">
        <v>117</v>
      </c>
      <c r="D176" s="17" t="s">
        <v>356</v>
      </c>
      <c r="E176" s="15" t="s">
        <v>185</v>
      </c>
      <c r="F176" s="15" t="s">
        <v>58</v>
      </c>
      <c r="G176" s="15" t="s">
        <v>14</v>
      </c>
      <c r="H176" s="18"/>
      <c r="I176" s="15"/>
      <c r="J176" s="15" t="n">
        <v>0</v>
      </c>
      <c r="K176" s="18" t="str">
        <f aca="false">IF(J176&gt;=5,"Done",IF(H176="","",H176+CHOOSE(J176+1,1,3,7,21,60)))</f>
        <v/>
      </c>
      <c r="L176" s="16"/>
    </row>
    <row r="177" customFormat="false" ht="15" hidden="false" customHeight="false" outlineLevel="0" collapsed="false">
      <c r="A177" s="15" t="n">
        <v>176</v>
      </c>
      <c r="B177" s="15" t="n">
        <v>15</v>
      </c>
      <c r="C177" s="16" t="s">
        <v>117</v>
      </c>
      <c r="D177" s="17" t="s">
        <v>357</v>
      </c>
      <c r="E177" s="15" t="s">
        <v>198</v>
      </c>
      <c r="F177" s="15" t="s">
        <v>58</v>
      </c>
      <c r="G177" s="15" t="s">
        <v>14</v>
      </c>
      <c r="H177" s="18"/>
      <c r="I177" s="15"/>
      <c r="J177" s="15" t="n">
        <v>0</v>
      </c>
      <c r="K177" s="18" t="str">
        <f aca="false">IF(J177&gt;=5,"Done",IF(H177="","",H177+CHOOSE(J177+1,1,3,7,21,60)))</f>
        <v/>
      </c>
      <c r="L177" s="16"/>
    </row>
    <row r="178" customFormat="false" ht="15" hidden="false" customHeight="false" outlineLevel="0" collapsed="false">
      <c r="A178" s="15" t="n">
        <v>177</v>
      </c>
      <c r="B178" s="15" t="n">
        <v>15</v>
      </c>
      <c r="C178" s="16" t="s">
        <v>117</v>
      </c>
      <c r="D178" s="17" t="s">
        <v>358</v>
      </c>
      <c r="E178" s="15" t="s">
        <v>185</v>
      </c>
      <c r="F178" s="15" t="s">
        <v>58</v>
      </c>
      <c r="G178" s="15" t="s">
        <v>14</v>
      </c>
      <c r="H178" s="18"/>
      <c r="I178" s="15"/>
      <c r="J178" s="15" t="n">
        <v>0</v>
      </c>
      <c r="K178" s="18" t="str">
        <f aca="false">IF(J178&gt;=5,"Done",IF(H178="","",H178+CHOOSE(J178+1,1,3,7,21,60)))</f>
        <v/>
      </c>
      <c r="L178" s="16"/>
    </row>
    <row r="179" customFormat="false" ht="15" hidden="false" customHeight="false" outlineLevel="0" collapsed="false">
      <c r="A179" s="15" t="n">
        <v>178</v>
      </c>
      <c r="B179" s="15" t="n">
        <v>15</v>
      </c>
      <c r="C179" s="16" t="s">
        <v>117</v>
      </c>
      <c r="D179" s="17" t="s">
        <v>359</v>
      </c>
      <c r="E179" s="15" t="s">
        <v>185</v>
      </c>
      <c r="F179" s="15" t="s">
        <v>56</v>
      </c>
      <c r="G179" s="15" t="s">
        <v>14</v>
      </c>
      <c r="H179" s="18"/>
      <c r="I179" s="15"/>
      <c r="J179" s="15" t="n">
        <v>0</v>
      </c>
      <c r="K179" s="18" t="str">
        <f aca="false">IF(J179&gt;=5,"Done",IF(H179="","",H179+CHOOSE(J179+1,1,3,7,21,60)))</f>
        <v/>
      </c>
      <c r="L179" s="16"/>
    </row>
    <row r="180" customFormat="false" ht="15" hidden="false" customHeight="false" outlineLevel="0" collapsed="false">
      <c r="A180" s="15" t="n">
        <v>179</v>
      </c>
      <c r="B180" s="15" t="n">
        <v>15</v>
      </c>
      <c r="C180" s="16" t="s">
        <v>117</v>
      </c>
      <c r="D180" s="17" t="s">
        <v>360</v>
      </c>
      <c r="E180" s="15" t="s">
        <v>185</v>
      </c>
      <c r="F180" s="15" t="s">
        <v>56</v>
      </c>
      <c r="G180" s="15" t="s">
        <v>14</v>
      </c>
      <c r="H180" s="18"/>
      <c r="I180" s="15"/>
      <c r="J180" s="15" t="n">
        <v>0</v>
      </c>
      <c r="K180" s="18" t="str">
        <f aca="false">IF(J180&gt;=5,"Done",IF(H180="","",H180+CHOOSE(J180+1,1,3,7,21,60)))</f>
        <v/>
      </c>
      <c r="L180" s="16"/>
    </row>
    <row r="181" customFormat="false" ht="15" hidden="false" customHeight="false" outlineLevel="0" collapsed="false">
      <c r="A181" s="15" t="n">
        <v>180</v>
      </c>
      <c r="B181" s="15" t="n">
        <v>15</v>
      </c>
      <c r="C181" s="16" t="s">
        <v>117</v>
      </c>
      <c r="D181" s="17" t="s">
        <v>361</v>
      </c>
      <c r="E181" s="15" t="s">
        <v>185</v>
      </c>
      <c r="F181" s="15" t="s">
        <v>58</v>
      </c>
      <c r="G181" s="15" t="s">
        <v>14</v>
      </c>
      <c r="H181" s="18"/>
      <c r="I181" s="15"/>
      <c r="J181" s="15" t="n">
        <v>0</v>
      </c>
      <c r="K181" s="18" t="str">
        <f aca="false">IF(J181&gt;=5,"Done",IF(H181="","",H181+CHOOSE(J181+1,1,3,7,21,60)))</f>
        <v/>
      </c>
      <c r="L181" s="16"/>
    </row>
    <row r="182" customFormat="false" ht="15" hidden="false" customHeight="false" outlineLevel="0" collapsed="false">
      <c r="A182" s="15" t="n">
        <v>181</v>
      </c>
      <c r="B182" s="15" t="n">
        <v>15</v>
      </c>
      <c r="C182" s="16" t="s">
        <v>117</v>
      </c>
      <c r="D182" s="17" t="s">
        <v>362</v>
      </c>
      <c r="E182" s="15" t="s">
        <v>185</v>
      </c>
      <c r="F182" s="15" t="s">
        <v>58</v>
      </c>
      <c r="G182" s="15" t="s">
        <v>14</v>
      </c>
      <c r="H182" s="18"/>
      <c r="I182" s="15"/>
      <c r="J182" s="15" t="n">
        <v>0</v>
      </c>
      <c r="K182" s="18" t="str">
        <f aca="false">IF(J182&gt;=5,"Done",IF(H182="","",H182+CHOOSE(J182+1,1,3,7,21,60)))</f>
        <v/>
      </c>
      <c r="L182" s="16"/>
    </row>
    <row r="183" customFormat="false" ht="15" hidden="false" customHeight="false" outlineLevel="0" collapsed="false">
      <c r="A183" s="15" t="n">
        <v>182</v>
      </c>
      <c r="B183" s="15" t="n">
        <v>15</v>
      </c>
      <c r="C183" s="16" t="s">
        <v>117</v>
      </c>
      <c r="D183" s="17" t="s">
        <v>363</v>
      </c>
      <c r="E183" s="15" t="s">
        <v>185</v>
      </c>
      <c r="F183" s="15" t="s">
        <v>56</v>
      </c>
      <c r="G183" s="15" t="s">
        <v>14</v>
      </c>
      <c r="H183" s="18"/>
      <c r="I183" s="15"/>
      <c r="J183" s="15" t="n">
        <v>0</v>
      </c>
      <c r="K183" s="18" t="str">
        <f aca="false">IF(J183&gt;=5,"Done",IF(H183="","",H183+CHOOSE(J183+1,1,3,7,21,60)))</f>
        <v/>
      </c>
      <c r="L183" s="16"/>
    </row>
    <row r="184" customFormat="false" ht="15" hidden="false" customHeight="false" outlineLevel="0" collapsed="false">
      <c r="A184" s="15" t="n">
        <v>183</v>
      </c>
      <c r="B184" s="15" t="n">
        <v>15</v>
      </c>
      <c r="C184" s="16" t="s">
        <v>117</v>
      </c>
      <c r="D184" s="17" t="s">
        <v>364</v>
      </c>
      <c r="E184" s="15" t="s">
        <v>185</v>
      </c>
      <c r="F184" s="15" t="s">
        <v>58</v>
      </c>
      <c r="G184" s="15" t="s">
        <v>14</v>
      </c>
      <c r="H184" s="18"/>
      <c r="I184" s="15"/>
      <c r="J184" s="15" t="n">
        <v>0</v>
      </c>
      <c r="K184" s="18" t="str">
        <f aca="false">IF(J184&gt;=5,"Done",IF(H184="","",H184+CHOOSE(J184+1,1,3,7,21,60)))</f>
        <v/>
      </c>
      <c r="L184" s="16"/>
    </row>
    <row r="185" customFormat="false" ht="15" hidden="false" customHeight="false" outlineLevel="0" collapsed="false">
      <c r="A185" s="15" t="n">
        <v>184</v>
      </c>
      <c r="B185" s="15" t="n">
        <v>15</v>
      </c>
      <c r="C185" s="16" t="s">
        <v>117</v>
      </c>
      <c r="D185" s="17" t="s">
        <v>365</v>
      </c>
      <c r="E185" s="15" t="s">
        <v>185</v>
      </c>
      <c r="F185" s="15" t="s">
        <v>58</v>
      </c>
      <c r="G185" s="15" t="s">
        <v>14</v>
      </c>
      <c r="H185" s="18"/>
      <c r="I185" s="15"/>
      <c r="J185" s="15" t="n">
        <v>0</v>
      </c>
      <c r="K185" s="18" t="str">
        <f aca="false">IF(J185&gt;=5,"Done",IF(H185="","",H185+CHOOSE(J185+1,1,3,7,21,60)))</f>
        <v/>
      </c>
      <c r="L185" s="16"/>
    </row>
    <row r="186" customFormat="false" ht="15" hidden="false" customHeight="false" outlineLevel="0" collapsed="false">
      <c r="A186" s="15" t="n">
        <v>185</v>
      </c>
      <c r="B186" s="15" t="n">
        <v>16</v>
      </c>
      <c r="C186" s="16" t="s">
        <v>119</v>
      </c>
      <c r="D186" s="17" t="s">
        <v>366</v>
      </c>
      <c r="E186" s="15" t="s">
        <v>185</v>
      </c>
      <c r="F186" s="15" t="s">
        <v>56</v>
      </c>
      <c r="G186" s="15" t="s">
        <v>14</v>
      </c>
      <c r="H186" s="18"/>
      <c r="I186" s="15"/>
      <c r="J186" s="15" t="n">
        <v>0</v>
      </c>
      <c r="K186" s="18" t="str">
        <f aca="false">IF(J186&gt;=5,"Done",IF(H186="","",H186+CHOOSE(J186+1,1,3,7,21,60)))</f>
        <v/>
      </c>
      <c r="L186" s="16"/>
    </row>
    <row r="187" customFormat="false" ht="15" hidden="false" customHeight="false" outlineLevel="0" collapsed="false">
      <c r="A187" s="15" t="n">
        <v>186</v>
      </c>
      <c r="B187" s="15" t="n">
        <v>16</v>
      </c>
      <c r="C187" s="16" t="s">
        <v>119</v>
      </c>
      <c r="D187" s="17" t="s">
        <v>367</v>
      </c>
      <c r="E187" s="15" t="s">
        <v>185</v>
      </c>
      <c r="F187" s="15" t="s">
        <v>56</v>
      </c>
      <c r="G187" s="15" t="s">
        <v>14</v>
      </c>
      <c r="H187" s="18"/>
      <c r="I187" s="15"/>
      <c r="J187" s="15" t="n">
        <v>0</v>
      </c>
      <c r="K187" s="18" t="str">
        <f aca="false">IF(J187&gt;=5,"Done",IF(H187="","",H187+CHOOSE(J187+1,1,3,7,21,60)))</f>
        <v/>
      </c>
      <c r="L187" s="16"/>
    </row>
    <row r="188" customFormat="false" ht="15" hidden="false" customHeight="false" outlineLevel="0" collapsed="false">
      <c r="A188" s="15" t="n">
        <v>187</v>
      </c>
      <c r="B188" s="15" t="n">
        <v>16</v>
      </c>
      <c r="C188" s="16" t="s">
        <v>119</v>
      </c>
      <c r="D188" s="17" t="s">
        <v>368</v>
      </c>
      <c r="E188" s="15" t="s">
        <v>185</v>
      </c>
      <c r="F188" s="15" t="s">
        <v>56</v>
      </c>
      <c r="G188" s="15" t="s">
        <v>14</v>
      </c>
      <c r="H188" s="18"/>
      <c r="I188" s="15"/>
      <c r="J188" s="15" t="n">
        <v>0</v>
      </c>
      <c r="K188" s="18" t="str">
        <f aca="false">IF(J188&gt;=5,"Done",IF(H188="","",H188+CHOOSE(J188+1,1,3,7,21,60)))</f>
        <v/>
      </c>
      <c r="L188" s="16"/>
    </row>
    <row r="189" customFormat="false" ht="15" hidden="false" customHeight="false" outlineLevel="0" collapsed="false">
      <c r="A189" s="15" t="n">
        <v>188</v>
      </c>
      <c r="B189" s="15" t="n">
        <v>16</v>
      </c>
      <c r="C189" s="16" t="s">
        <v>119</v>
      </c>
      <c r="D189" s="17" t="s">
        <v>369</v>
      </c>
      <c r="E189" s="15" t="s">
        <v>198</v>
      </c>
      <c r="F189" s="15" t="s">
        <v>58</v>
      </c>
      <c r="G189" s="15" t="s">
        <v>14</v>
      </c>
      <c r="H189" s="18"/>
      <c r="I189" s="15"/>
      <c r="J189" s="15" t="n">
        <v>0</v>
      </c>
      <c r="K189" s="18" t="str">
        <f aca="false">IF(J189&gt;=5,"Done",IF(H189="","",H189+CHOOSE(J189+1,1,3,7,21,60)))</f>
        <v/>
      </c>
      <c r="L189" s="16"/>
    </row>
    <row r="190" customFormat="false" ht="15" hidden="false" customHeight="false" outlineLevel="0" collapsed="false">
      <c r="A190" s="15" t="n">
        <v>189</v>
      </c>
      <c r="B190" s="15" t="n">
        <v>16</v>
      </c>
      <c r="C190" s="16" t="s">
        <v>119</v>
      </c>
      <c r="D190" s="17" t="s">
        <v>370</v>
      </c>
      <c r="E190" s="15" t="s">
        <v>185</v>
      </c>
      <c r="F190" s="15" t="s">
        <v>56</v>
      </c>
      <c r="G190" s="15" t="s">
        <v>14</v>
      </c>
      <c r="H190" s="18"/>
      <c r="I190" s="15"/>
      <c r="J190" s="15" t="n">
        <v>0</v>
      </c>
      <c r="K190" s="18" t="str">
        <f aca="false">IF(J190&gt;=5,"Done",IF(H190="","",H190+CHOOSE(J190+1,1,3,7,21,60)))</f>
        <v/>
      </c>
      <c r="L190" s="16"/>
    </row>
    <row r="191" customFormat="false" ht="15" hidden="false" customHeight="false" outlineLevel="0" collapsed="false">
      <c r="A191" s="15" t="n">
        <v>190</v>
      </c>
      <c r="B191" s="15" t="n">
        <v>16</v>
      </c>
      <c r="C191" s="16" t="s">
        <v>119</v>
      </c>
      <c r="D191" s="17" t="s">
        <v>371</v>
      </c>
      <c r="E191" s="15" t="s">
        <v>185</v>
      </c>
      <c r="F191" s="15" t="s">
        <v>58</v>
      </c>
      <c r="G191" s="15" t="s">
        <v>14</v>
      </c>
      <c r="H191" s="18"/>
      <c r="I191" s="15"/>
      <c r="J191" s="15" t="n">
        <v>0</v>
      </c>
      <c r="K191" s="18" t="str">
        <f aca="false">IF(J191&gt;=5,"Done",IF(H191="","",H191+CHOOSE(J191+1,1,3,7,21,60)))</f>
        <v/>
      </c>
      <c r="L191" s="16"/>
    </row>
    <row r="192" customFormat="false" ht="15" hidden="false" customHeight="false" outlineLevel="0" collapsed="false">
      <c r="A192" s="15" t="n">
        <v>191</v>
      </c>
      <c r="B192" s="15" t="n">
        <v>16</v>
      </c>
      <c r="C192" s="16" t="s">
        <v>119</v>
      </c>
      <c r="D192" s="17" t="s">
        <v>372</v>
      </c>
      <c r="E192" s="15" t="s">
        <v>185</v>
      </c>
      <c r="F192" s="15" t="s">
        <v>58</v>
      </c>
      <c r="G192" s="15" t="s">
        <v>14</v>
      </c>
      <c r="H192" s="18"/>
      <c r="I192" s="15"/>
      <c r="J192" s="15" t="n">
        <v>0</v>
      </c>
      <c r="K192" s="18" t="str">
        <f aca="false">IF(J192&gt;=5,"Done",IF(H192="","",H192+CHOOSE(J192+1,1,3,7,21,60)))</f>
        <v/>
      </c>
      <c r="L192" s="16"/>
    </row>
    <row r="193" customFormat="false" ht="15" hidden="false" customHeight="false" outlineLevel="0" collapsed="false">
      <c r="A193" s="15" t="n">
        <v>192</v>
      </c>
      <c r="B193" s="15" t="n">
        <v>16</v>
      </c>
      <c r="C193" s="16" t="s">
        <v>119</v>
      </c>
      <c r="D193" s="17" t="s">
        <v>373</v>
      </c>
      <c r="E193" s="15" t="s">
        <v>198</v>
      </c>
      <c r="F193" s="15" t="s">
        <v>58</v>
      </c>
      <c r="G193" s="15" t="s">
        <v>14</v>
      </c>
      <c r="H193" s="18"/>
      <c r="I193" s="15"/>
      <c r="J193" s="15" t="n">
        <v>0</v>
      </c>
      <c r="K193" s="18" t="str">
        <f aca="false">IF(J193&gt;=5,"Done",IF(H193="","",H193+CHOOSE(J193+1,1,3,7,21,60)))</f>
        <v/>
      </c>
      <c r="L193" s="16"/>
    </row>
    <row r="194" customFormat="false" ht="15" hidden="false" customHeight="false" outlineLevel="0" collapsed="false">
      <c r="A194" s="15" t="n">
        <v>193</v>
      </c>
      <c r="B194" s="15" t="n">
        <v>16</v>
      </c>
      <c r="C194" s="16" t="s">
        <v>119</v>
      </c>
      <c r="D194" s="17" t="s">
        <v>374</v>
      </c>
      <c r="E194" s="15" t="s">
        <v>198</v>
      </c>
      <c r="F194" s="15" t="s">
        <v>56</v>
      </c>
      <c r="G194" s="15" t="s">
        <v>14</v>
      </c>
      <c r="H194" s="18"/>
      <c r="I194" s="15"/>
      <c r="J194" s="15" t="n">
        <v>0</v>
      </c>
      <c r="K194" s="18" t="str">
        <f aca="false">IF(J194&gt;=5,"Done",IF(H194="","",H194+CHOOSE(J194+1,1,3,7,21,60)))</f>
        <v/>
      </c>
      <c r="L194" s="16"/>
    </row>
    <row r="195" customFormat="false" ht="15" hidden="false" customHeight="false" outlineLevel="0" collapsed="false">
      <c r="A195" s="15" t="n">
        <v>194</v>
      </c>
      <c r="B195" s="15" t="n">
        <v>16</v>
      </c>
      <c r="C195" s="16" t="s">
        <v>119</v>
      </c>
      <c r="D195" s="17" t="s">
        <v>375</v>
      </c>
      <c r="E195" s="15" t="s">
        <v>198</v>
      </c>
      <c r="F195" s="15" t="s">
        <v>58</v>
      </c>
      <c r="G195" s="15" t="s">
        <v>14</v>
      </c>
      <c r="H195" s="18"/>
      <c r="I195" s="15"/>
      <c r="J195" s="15" t="n">
        <v>0</v>
      </c>
      <c r="K195" s="18" t="str">
        <f aca="false">IF(J195&gt;=5,"Done",IF(H195="","",H195+CHOOSE(J195+1,1,3,7,21,60)))</f>
        <v/>
      </c>
      <c r="L195" s="16"/>
    </row>
    <row r="196" customFormat="false" ht="15" hidden="false" customHeight="false" outlineLevel="0" collapsed="false">
      <c r="A196" s="15" t="n">
        <v>195</v>
      </c>
      <c r="B196" s="15" t="n">
        <v>16</v>
      </c>
      <c r="C196" s="16" t="s">
        <v>119</v>
      </c>
      <c r="D196" s="17" t="s">
        <v>376</v>
      </c>
      <c r="E196" s="15" t="s">
        <v>185</v>
      </c>
      <c r="F196" s="15" t="s">
        <v>58</v>
      </c>
      <c r="G196" s="15" t="s">
        <v>14</v>
      </c>
      <c r="H196" s="18"/>
      <c r="I196" s="15"/>
      <c r="J196" s="15" t="n">
        <v>0</v>
      </c>
      <c r="K196" s="18" t="str">
        <f aca="false">IF(J196&gt;=5,"Done",IF(H196="","",H196+CHOOSE(J196+1,1,3,7,21,60)))</f>
        <v/>
      </c>
      <c r="L196" s="16"/>
    </row>
    <row r="197" customFormat="false" ht="15" hidden="false" customHeight="false" outlineLevel="0" collapsed="false">
      <c r="A197" s="15" t="n">
        <v>196</v>
      </c>
      <c r="B197" s="15" t="n">
        <v>16</v>
      </c>
      <c r="C197" s="16" t="s">
        <v>119</v>
      </c>
      <c r="D197" s="17" t="s">
        <v>377</v>
      </c>
      <c r="E197" s="15" t="s">
        <v>198</v>
      </c>
      <c r="F197" s="15" t="s">
        <v>58</v>
      </c>
      <c r="G197" s="15" t="s">
        <v>14</v>
      </c>
      <c r="H197" s="18"/>
      <c r="I197" s="15"/>
      <c r="J197" s="15" t="n">
        <v>0</v>
      </c>
      <c r="K197" s="18" t="str">
        <f aca="false">IF(J197&gt;=5,"Done",IF(H197="","",H197+CHOOSE(J197+1,1,3,7,21,60)))</f>
        <v/>
      </c>
      <c r="L197" s="16"/>
    </row>
    <row r="198" customFormat="false" ht="15" hidden="false" customHeight="false" outlineLevel="0" collapsed="false">
      <c r="A198" s="15" t="n">
        <v>197</v>
      </c>
      <c r="B198" s="15" t="n">
        <v>17</v>
      </c>
      <c r="C198" s="16" t="s">
        <v>123</v>
      </c>
      <c r="D198" s="17" t="s">
        <v>378</v>
      </c>
      <c r="E198" s="15" t="s">
        <v>185</v>
      </c>
      <c r="F198" s="15" t="s">
        <v>56</v>
      </c>
      <c r="G198" s="15" t="s">
        <v>14</v>
      </c>
      <c r="H198" s="18"/>
      <c r="I198" s="15"/>
      <c r="J198" s="15" t="n">
        <v>0</v>
      </c>
      <c r="K198" s="18" t="str">
        <f aca="false">IF(J198&gt;=5,"Done",IF(H198="","",H198+CHOOSE(J198+1,1,3,7,21,60)))</f>
        <v/>
      </c>
      <c r="L198" s="16"/>
    </row>
    <row r="199" customFormat="false" ht="15" hidden="false" customHeight="false" outlineLevel="0" collapsed="false">
      <c r="A199" s="15" t="n">
        <v>198</v>
      </c>
      <c r="B199" s="15" t="n">
        <v>17</v>
      </c>
      <c r="C199" s="16" t="s">
        <v>123</v>
      </c>
      <c r="D199" s="17" t="s">
        <v>379</v>
      </c>
      <c r="E199" s="15" t="s">
        <v>185</v>
      </c>
      <c r="F199" s="15" t="s">
        <v>56</v>
      </c>
      <c r="G199" s="15" t="s">
        <v>14</v>
      </c>
      <c r="H199" s="18"/>
      <c r="I199" s="15"/>
      <c r="J199" s="15" t="n">
        <v>0</v>
      </c>
      <c r="K199" s="18" t="str">
        <f aca="false">IF(J199&gt;=5,"Done",IF(H199="","",H199+CHOOSE(J199+1,1,3,7,21,60)))</f>
        <v/>
      </c>
      <c r="L199" s="16"/>
    </row>
    <row r="200" customFormat="false" ht="15" hidden="false" customHeight="false" outlineLevel="0" collapsed="false">
      <c r="A200" s="15" t="n">
        <v>199</v>
      </c>
      <c r="B200" s="15" t="n">
        <v>17</v>
      </c>
      <c r="C200" s="16" t="s">
        <v>123</v>
      </c>
      <c r="D200" s="17" t="s">
        <v>380</v>
      </c>
      <c r="E200" s="15" t="s">
        <v>185</v>
      </c>
      <c r="F200" s="15" t="s">
        <v>56</v>
      </c>
      <c r="G200" s="15" t="s">
        <v>14</v>
      </c>
      <c r="H200" s="18"/>
      <c r="I200" s="15"/>
      <c r="J200" s="15" t="n">
        <v>0</v>
      </c>
      <c r="K200" s="18" t="str">
        <f aca="false">IF(J200&gt;=5,"Done",IF(H200="","",H200+CHOOSE(J200+1,1,3,7,21,60)))</f>
        <v/>
      </c>
      <c r="L200" s="16"/>
    </row>
    <row r="201" customFormat="false" ht="15" hidden="false" customHeight="false" outlineLevel="0" collapsed="false">
      <c r="A201" s="15" t="n">
        <v>200</v>
      </c>
      <c r="B201" s="15" t="n">
        <v>17</v>
      </c>
      <c r="C201" s="16" t="s">
        <v>123</v>
      </c>
      <c r="D201" s="17" t="s">
        <v>381</v>
      </c>
      <c r="E201" s="15" t="s">
        <v>185</v>
      </c>
      <c r="F201" s="15" t="s">
        <v>58</v>
      </c>
      <c r="G201" s="15" t="s">
        <v>14</v>
      </c>
      <c r="H201" s="18"/>
      <c r="I201" s="15"/>
      <c r="J201" s="15" t="n">
        <v>0</v>
      </c>
      <c r="K201" s="18" t="str">
        <f aca="false">IF(J201&gt;=5,"Done",IF(H201="","",H201+CHOOSE(J201+1,1,3,7,21,60)))</f>
        <v/>
      </c>
      <c r="L201" s="16"/>
    </row>
    <row r="202" customFormat="false" ht="15" hidden="false" customHeight="false" outlineLevel="0" collapsed="false">
      <c r="A202" s="15" t="n">
        <v>201</v>
      </c>
      <c r="B202" s="15" t="n">
        <v>17</v>
      </c>
      <c r="C202" s="16" t="s">
        <v>123</v>
      </c>
      <c r="D202" s="17" t="s">
        <v>382</v>
      </c>
      <c r="E202" s="15" t="s">
        <v>185</v>
      </c>
      <c r="F202" s="15" t="s">
        <v>56</v>
      </c>
      <c r="G202" s="15" t="s">
        <v>14</v>
      </c>
      <c r="H202" s="18"/>
      <c r="I202" s="15"/>
      <c r="J202" s="15" t="n">
        <v>0</v>
      </c>
      <c r="K202" s="18" t="str">
        <f aca="false">IF(J202&gt;=5,"Done",IF(H202="","",H202+CHOOSE(J202+1,1,3,7,21,60)))</f>
        <v/>
      </c>
      <c r="L202" s="16"/>
    </row>
    <row r="203" customFormat="false" ht="15" hidden="false" customHeight="false" outlineLevel="0" collapsed="false">
      <c r="A203" s="15" t="n">
        <v>202</v>
      </c>
      <c r="B203" s="15" t="n">
        <v>17</v>
      </c>
      <c r="C203" s="16" t="s">
        <v>123</v>
      </c>
      <c r="D203" s="17" t="s">
        <v>383</v>
      </c>
      <c r="E203" s="15" t="s">
        <v>185</v>
      </c>
      <c r="F203" s="15" t="s">
        <v>58</v>
      </c>
      <c r="G203" s="15" t="s">
        <v>14</v>
      </c>
      <c r="H203" s="18"/>
      <c r="I203" s="15"/>
      <c r="J203" s="15" t="n">
        <v>0</v>
      </c>
      <c r="K203" s="18" t="str">
        <f aca="false">IF(J203&gt;=5,"Done",IF(H203="","",H203+CHOOSE(J203+1,1,3,7,21,60)))</f>
        <v/>
      </c>
      <c r="L203" s="16"/>
    </row>
    <row r="204" customFormat="false" ht="15" hidden="false" customHeight="false" outlineLevel="0" collapsed="false">
      <c r="A204" s="15" t="n">
        <v>203</v>
      </c>
      <c r="B204" s="15" t="n">
        <v>17</v>
      </c>
      <c r="C204" s="16" t="s">
        <v>123</v>
      </c>
      <c r="D204" s="17" t="s">
        <v>384</v>
      </c>
      <c r="E204" s="15" t="s">
        <v>198</v>
      </c>
      <c r="F204" s="15" t="s">
        <v>58</v>
      </c>
      <c r="G204" s="15" t="s">
        <v>14</v>
      </c>
      <c r="H204" s="18"/>
      <c r="I204" s="15"/>
      <c r="J204" s="15" t="n">
        <v>0</v>
      </c>
      <c r="K204" s="18" t="str">
        <f aca="false">IF(J204&gt;=5,"Done",IF(H204="","",H204+CHOOSE(J204+1,1,3,7,21,60)))</f>
        <v/>
      </c>
      <c r="L204" s="16"/>
    </row>
    <row r="205" customFormat="false" ht="15" hidden="false" customHeight="false" outlineLevel="0" collapsed="false">
      <c r="A205" s="15" t="n">
        <v>204</v>
      </c>
      <c r="B205" s="15" t="n">
        <v>17</v>
      </c>
      <c r="C205" s="16" t="s">
        <v>123</v>
      </c>
      <c r="D205" s="17" t="s">
        <v>385</v>
      </c>
      <c r="E205" s="15" t="s">
        <v>181</v>
      </c>
      <c r="F205" s="15" t="s">
        <v>58</v>
      </c>
      <c r="G205" s="15" t="s">
        <v>14</v>
      </c>
      <c r="H205" s="18"/>
      <c r="I205" s="15"/>
      <c r="J205" s="15" t="n">
        <v>0</v>
      </c>
      <c r="K205" s="18" t="str">
        <f aca="false">IF(J205&gt;=5,"Done",IF(H205="","",H205+CHOOSE(J205+1,1,3,7,21,60)))</f>
        <v/>
      </c>
      <c r="L205" s="16"/>
    </row>
    <row r="206" customFormat="false" ht="15" hidden="false" customHeight="false" outlineLevel="0" collapsed="false">
      <c r="A206" s="15" t="n">
        <v>205</v>
      </c>
      <c r="B206" s="15" t="n">
        <v>17</v>
      </c>
      <c r="C206" s="16" t="s">
        <v>123</v>
      </c>
      <c r="D206" s="17" t="s">
        <v>386</v>
      </c>
      <c r="E206" s="15" t="s">
        <v>185</v>
      </c>
      <c r="F206" s="15" t="s">
        <v>58</v>
      </c>
      <c r="G206" s="15" t="s">
        <v>14</v>
      </c>
      <c r="H206" s="18"/>
      <c r="I206" s="15"/>
      <c r="J206" s="15" t="n">
        <v>0</v>
      </c>
      <c r="K206" s="18" t="str">
        <f aca="false">IF(J206&gt;=5,"Done",IF(H206="","",H206+CHOOSE(J206+1,1,3,7,21,60)))</f>
        <v/>
      </c>
      <c r="L206" s="16"/>
    </row>
    <row r="207" customFormat="false" ht="15" hidden="false" customHeight="false" outlineLevel="0" collapsed="false">
      <c r="A207" s="15" t="n">
        <v>206</v>
      </c>
      <c r="B207" s="15" t="n">
        <v>17</v>
      </c>
      <c r="C207" s="16" t="s">
        <v>123</v>
      </c>
      <c r="D207" s="17" t="s">
        <v>387</v>
      </c>
      <c r="E207" s="15" t="s">
        <v>185</v>
      </c>
      <c r="F207" s="15" t="s">
        <v>58</v>
      </c>
      <c r="G207" s="15" t="s">
        <v>14</v>
      </c>
      <c r="H207" s="18"/>
      <c r="I207" s="15"/>
      <c r="J207" s="15" t="n">
        <v>0</v>
      </c>
      <c r="K207" s="18" t="str">
        <f aca="false">IF(J207&gt;=5,"Done",IF(H207="","",H207+CHOOSE(J207+1,1,3,7,21,60)))</f>
        <v/>
      </c>
      <c r="L207" s="16"/>
    </row>
    <row r="208" customFormat="false" ht="15" hidden="false" customHeight="false" outlineLevel="0" collapsed="false">
      <c r="A208" s="15" t="n">
        <v>207</v>
      </c>
      <c r="B208" s="15" t="n">
        <v>17</v>
      </c>
      <c r="C208" s="16" t="s">
        <v>123</v>
      </c>
      <c r="D208" s="17" t="s">
        <v>388</v>
      </c>
      <c r="E208" s="15" t="s">
        <v>181</v>
      </c>
      <c r="F208" s="15" t="s">
        <v>58</v>
      </c>
      <c r="G208" s="15" t="s">
        <v>14</v>
      </c>
      <c r="H208" s="18"/>
      <c r="I208" s="15"/>
      <c r="J208" s="15" t="n">
        <v>0</v>
      </c>
      <c r="K208" s="18" t="str">
        <f aca="false">IF(J208&gt;=5,"Done",IF(H208="","",H208+CHOOSE(J208+1,1,3,7,21,60)))</f>
        <v/>
      </c>
      <c r="L208" s="16"/>
    </row>
    <row r="209" customFormat="false" ht="15" hidden="false" customHeight="false" outlineLevel="0" collapsed="false">
      <c r="A209" s="15" t="n">
        <v>208</v>
      </c>
      <c r="B209" s="15" t="n">
        <v>17</v>
      </c>
      <c r="C209" s="16" t="s">
        <v>123</v>
      </c>
      <c r="D209" s="17" t="s">
        <v>389</v>
      </c>
      <c r="E209" s="15" t="s">
        <v>185</v>
      </c>
      <c r="F209" s="15" t="s">
        <v>58</v>
      </c>
      <c r="G209" s="15" t="s">
        <v>14</v>
      </c>
      <c r="H209" s="18"/>
      <c r="I209" s="15"/>
      <c r="J209" s="15" t="n">
        <v>0</v>
      </c>
      <c r="K209" s="18" t="str">
        <f aca="false">IF(J209&gt;=5,"Done",IF(H209="","",H209+CHOOSE(J209+1,1,3,7,21,60)))</f>
        <v/>
      </c>
      <c r="L209" s="16"/>
    </row>
    <row r="210" customFormat="false" ht="15" hidden="false" customHeight="false" outlineLevel="0" collapsed="false">
      <c r="A210" s="15" t="n">
        <v>209</v>
      </c>
      <c r="B210" s="15" t="n">
        <v>17</v>
      </c>
      <c r="C210" s="16" t="s">
        <v>123</v>
      </c>
      <c r="D210" s="17" t="s">
        <v>390</v>
      </c>
      <c r="E210" s="15" t="s">
        <v>185</v>
      </c>
      <c r="F210" s="15" t="s">
        <v>58</v>
      </c>
      <c r="G210" s="15" t="s">
        <v>14</v>
      </c>
      <c r="H210" s="18"/>
      <c r="I210" s="15"/>
      <c r="J210" s="15" t="n">
        <v>0</v>
      </c>
      <c r="K210" s="18" t="str">
        <f aca="false">IF(J210&gt;=5,"Done",IF(H210="","",H210+CHOOSE(J210+1,1,3,7,21,60)))</f>
        <v/>
      </c>
      <c r="L210" s="16"/>
    </row>
    <row r="211" customFormat="false" ht="15" hidden="false" customHeight="false" outlineLevel="0" collapsed="false">
      <c r="A211" s="15" t="n">
        <v>210</v>
      </c>
      <c r="B211" s="15" t="n">
        <v>18</v>
      </c>
      <c r="C211" s="16" t="s">
        <v>125</v>
      </c>
      <c r="D211" s="17" t="s">
        <v>391</v>
      </c>
      <c r="E211" s="15" t="s">
        <v>181</v>
      </c>
      <c r="F211" s="15" t="s">
        <v>56</v>
      </c>
      <c r="G211" s="15" t="s">
        <v>14</v>
      </c>
      <c r="H211" s="18"/>
      <c r="I211" s="15"/>
      <c r="J211" s="15" t="n">
        <v>0</v>
      </c>
      <c r="K211" s="18" t="str">
        <f aca="false">IF(J211&gt;=5,"Done",IF(H211="","",H211+CHOOSE(J211+1,1,3,7,21,60)))</f>
        <v/>
      </c>
      <c r="L211" s="16"/>
    </row>
    <row r="212" customFormat="false" ht="15" hidden="false" customHeight="false" outlineLevel="0" collapsed="false">
      <c r="A212" s="15" t="n">
        <v>211</v>
      </c>
      <c r="B212" s="15" t="n">
        <v>18</v>
      </c>
      <c r="C212" s="16" t="s">
        <v>125</v>
      </c>
      <c r="D212" s="17" t="s">
        <v>392</v>
      </c>
      <c r="E212" s="15" t="s">
        <v>181</v>
      </c>
      <c r="F212" s="15" t="s">
        <v>58</v>
      </c>
      <c r="G212" s="15" t="s">
        <v>14</v>
      </c>
      <c r="H212" s="18"/>
      <c r="I212" s="15"/>
      <c r="J212" s="15" t="n">
        <v>0</v>
      </c>
      <c r="K212" s="18" t="str">
        <f aca="false">IF(J212&gt;=5,"Done",IF(H212="","",H212+CHOOSE(J212+1,1,3,7,21,60)))</f>
        <v/>
      </c>
      <c r="L212" s="16"/>
    </row>
    <row r="213" customFormat="false" ht="15" hidden="false" customHeight="false" outlineLevel="0" collapsed="false">
      <c r="A213" s="15" t="n">
        <v>212</v>
      </c>
      <c r="B213" s="15" t="n">
        <v>18</v>
      </c>
      <c r="C213" s="16" t="s">
        <v>125</v>
      </c>
      <c r="D213" s="17" t="s">
        <v>393</v>
      </c>
      <c r="E213" s="15" t="s">
        <v>185</v>
      </c>
      <c r="F213" s="15" t="s">
        <v>56</v>
      </c>
      <c r="G213" s="15" t="s">
        <v>14</v>
      </c>
      <c r="H213" s="18"/>
      <c r="I213" s="15"/>
      <c r="J213" s="15" t="n">
        <v>0</v>
      </c>
      <c r="K213" s="18" t="str">
        <f aca="false">IF(J213&gt;=5,"Done",IF(H213="","",H213+CHOOSE(J213+1,1,3,7,21,60)))</f>
        <v/>
      </c>
      <c r="L213" s="16"/>
    </row>
    <row r="214" customFormat="false" ht="15" hidden="false" customHeight="false" outlineLevel="0" collapsed="false">
      <c r="A214" s="15" t="n">
        <v>213</v>
      </c>
      <c r="B214" s="15" t="n">
        <v>18</v>
      </c>
      <c r="C214" s="16" t="s">
        <v>125</v>
      </c>
      <c r="D214" s="17" t="s">
        <v>394</v>
      </c>
      <c r="E214" s="15" t="s">
        <v>185</v>
      </c>
      <c r="F214" s="15" t="s">
        <v>56</v>
      </c>
      <c r="G214" s="15" t="s">
        <v>14</v>
      </c>
      <c r="H214" s="18"/>
      <c r="I214" s="15"/>
      <c r="J214" s="15" t="n">
        <v>0</v>
      </c>
      <c r="K214" s="18" t="str">
        <f aca="false">IF(J214&gt;=5,"Done",IF(H214="","",H214+CHOOSE(J214+1,1,3,7,21,60)))</f>
        <v/>
      </c>
      <c r="L214" s="16"/>
    </row>
    <row r="215" customFormat="false" ht="15" hidden="false" customHeight="false" outlineLevel="0" collapsed="false">
      <c r="A215" s="15" t="n">
        <v>214</v>
      </c>
      <c r="B215" s="15" t="n">
        <v>18</v>
      </c>
      <c r="C215" s="16" t="s">
        <v>125</v>
      </c>
      <c r="D215" s="17" t="s">
        <v>395</v>
      </c>
      <c r="E215" s="15" t="s">
        <v>185</v>
      </c>
      <c r="F215" s="15" t="s">
        <v>56</v>
      </c>
      <c r="G215" s="15" t="s">
        <v>14</v>
      </c>
      <c r="H215" s="18"/>
      <c r="I215" s="15"/>
      <c r="J215" s="15" t="n">
        <v>0</v>
      </c>
      <c r="K215" s="18" t="str">
        <f aca="false">IF(J215&gt;=5,"Done",IF(H215="","",H215+CHOOSE(J215+1,1,3,7,21,60)))</f>
        <v/>
      </c>
      <c r="L215" s="16"/>
    </row>
    <row r="216" customFormat="false" ht="15" hidden="false" customHeight="false" outlineLevel="0" collapsed="false">
      <c r="A216" s="15" t="n">
        <v>215</v>
      </c>
      <c r="B216" s="15" t="n">
        <v>18</v>
      </c>
      <c r="C216" s="16" t="s">
        <v>125</v>
      </c>
      <c r="D216" s="17" t="s">
        <v>396</v>
      </c>
      <c r="E216" s="15" t="s">
        <v>185</v>
      </c>
      <c r="F216" s="15" t="s">
        <v>56</v>
      </c>
      <c r="G216" s="15" t="s">
        <v>14</v>
      </c>
      <c r="H216" s="18"/>
      <c r="I216" s="15"/>
      <c r="J216" s="15" t="n">
        <v>0</v>
      </c>
      <c r="K216" s="18" t="str">
        <f aca="false">IF(J216&gt;=5,"Done",IF(H216="","",H216+CHOOSE(J216+1,1,3,7,21,60)))</f>
        <v/>
      </c>
      <c r="L216" s="16"/>
    </row>
    <row r="217" customFormat="false" ht="15" hidden="false" customHeight="false" outlineLevel="0" collapsed="false">
      <c r="A217" s="15" t="n">
        <v>216</v>
      </c>
      <c r="B217" s="15" t="n">
        <v>18</v>
      </c>
      <c r="C217" s="16" t="s">
        <v>125</v>
      </c>
      <c r="D217" s="17" t="s">
        <v>397</v>
      </c>
      <c r="E217" s="15" t="s">
        <v>185</v>
      </c>
      <c r="F217" s="15" t="s">
        <v>56</v>
      </c>
      <c r="G217" s="15" t="s">
        <v>14</v>
      </c>
      <c r="H217" s="18"/>
      <c r="I217" s="15"/>
      <c r="J217" s="15" t="n">
        <v>0</v>
      </c>
      <c r="K217" s="18" t="str">
        <f aca="false">IF(J217&gt;=5,"Done",IF(H217="","",H217+CHOOSE(J217+1,1,3,7,21,60)))</f>
        <v/>
      </c>
      <c r="L217" s="16"/>
    </row>
    <row r="218" customFormat="false" ht="15" hidden="false" customHeight="false" outlineLevel="0" collapsed="false">
      <c r="A218" s="15" t="n">
        <v>217</v>
      </c>
      <c r="B218" s="15" t="n">
        <v>18</v>
      </c>
      <c r="C218" s="16" t="s">
        <v>125</v>
      </c>
      <c r="D218" s="17" t="s">
        <v>398</v>
      </c>
      <c r="E218" s="15" t="s">
        <v>185</v>
      </c>
      <c r="F218" s="15" t="s">
        <v>58</v>
      </c>
      <c r="G218" s="15" t="s">
        <v>14</v>
      </c>
      <c r="H218" s="18"/>
      <c r="I218" s="15"/>
      <c r="J218" s="15" t="n">
        <v>0</v>
      </c>
      <c r="K218" s="18" t="str">
        <f aca="false">IF(J218&gt;=5,"Done",IF(H218="","",H218+CHOOSE(J218+1,1,3,7,21,60)))</f>
        <v/>
      </c>
      <c r="L218" s="16"/>
    </row>
    <row r="219" customFormat="false" ht="15" hidden="false" customHeight="false" outlineLevel="0" collapsed="false">
      <c r="A219" s="15" t="n">
        <v>218</v>
      </c>
      <c r="B219" s="15" t="n">
        <v>18</v>
      </c>
      <c r="C219" s="16" t="s">
        <v>125</v>
      </c>
      <c r="D219" s="17" t="s">
        <v>399</v>
      </c>
      <c r="E219" s="15" t="s">
        <v>185</v>
      </c>
      <c r="F219" s="15" t="s">
        <v>58</v>
      </c>
      <c r="G219" s="15" t="s">
        <v>14</v>
      </c>
      <c r="H219" s="18"/>
      <c r="I219" s="15"/>
      <c r="J219" s="15" t="n">
        <v>0</v>
      </c>
      <c r="K219" s="18" t="str">
        <f aca="false">IF(J219&gt;=5,"Done",IF(H219="","",H219+CHOOSE(J219+1,1,3,7,21,60)))</f>
        <v/>
      </c>
      <c r="L219" s="16"/>
    </row>
    <row r="220" customFormat="false" ht="15" hidden="false" customHeight="false" outlineLevel="0" collapsed="false">
      <c r="A220" s="15" t="n">
        <v>219</v>
      </c>
      <c r="B220" s="15" t="n">
        <v>18</v>
      </c>
      <c r="C220" s="16" t="s">
        <v>125</v>
      </c>
      <c r="D220" s="17" t="s">
        <v>400</v>
      </c>
      <c r="E220" s="15" t="s">
        <v>185</v>
      </c>
      <c r="F220" s="15" t="s">
        <v>58</v>
      </c>
      <c r="G220" s="15" t="s">
        <v>14</v>
      </c>
      <c r="H220" s="18"/>
      <c r="I220" s="15"/>
      <c r="J220" s="15" t="n">
        <v>0</v>
      </c>
      <c r="K220" s="18" t="str">
        <f aca="false">IF(J220&gt;=5,"Done",IF(H220="","",H220+CHOOSE(J220+1,1,3,7,21,60)))</f>
        <v/>
      </c>
      <c r="L220" s="16"/>
    </row>
    <row r="221" customFormat="false" ht="15" hidden="false" customHeight="false" outlineLevel="0" collapsed="false">
      <c r="A221" s="15" t="n">
        <v>220</v>
      </c>
      <c r="B221" s="15" t="n">
        <v>18</v>
      </c>
      <c r="C221" s="16" t="s">
        <v>125</v>
      </c>
      <c r="D221" s="17" t="s">
        <v>401</v>
      </c>
      <c r="E221" s="15" t="s">
        <v>185</v>
      </c>
      <c r="F221" s="15" t="s">
        <v>58</v>
      </c>
      <c r="G221" s="15" t="s">
        <v>14</v>
      </c>
      <c r="H221" s="18"/>
      <c r="I221" s="15"/>
      <c r="J221" s="15" t="n">
        <v>0</v>
      </c>
      <c r="K221" s="18" t="str">
        <f aca="false">IF(J221&gt;=5,"Done",IF(H221="","",H221+CHOOSE(J221+1,1,3,7,21,60)))</f>
        <v/>
      </c>
      <c r="L221" s="16"/>
    </row>
    <row r="222" customFormat="false" ht="15" hidden="false" customHeight="false" outlineLevel="0" collapsed="false">
      <c r="A222" s="15" t="n">
        <v>221</v>
      </c>
      <c r="B222" s="15" t="n">
        <v>18</v>
      </c>
      <c r="C222" s="16" t="s">
        <v>125</v>
      </c>
      <c r="D222" s="17" t="s">
        <v>402</v>
      </c>
      <c r="E222" s="15" t="s">
        <v>185</v>
      </c>
      <c r="F222" s="15" t="s">
        <v>58</v>
      </c>
      <c r="G222" s="15" t="s">
        <v>14</v>
      </c>
      <c r="H222" s="18"/>
      <c r="I222" s="15"/>
      <c r="J222" s="15" t="n">
        <v>0</v>
      </c>
      <c r="K222" s="18" t="str">
        <f aca="false">IF(J222&gt;=5,"Done",IF(H222="","",H222+CHOOSE(J222+1,1,3,7,21,60)))</f>
        <v/>
      </c>
      <c r="L222" s="16"/>
    </row>
    <row r="223" customFormat="false" ht="15" hidden="false" customHeight="false" outlineLevel="0" collapsed="false">
      <c r="A223" s="15" t="n">
        <v>222</v>
      </c>
      <c r="B223" s="15" t="n">
        <v>19</v>
      </c>
      <c r="C223" s="16" t="s">
        <v>127</v>
      </c>
      <c r="D223" s="17" t="s">
        <v>403</v>
      </c>
      <c r="E223" s="15" t="s">
        <v>185</v>
      </c>
      <c r="F223" s="15" t="s">
        <v>56</v>
      </c>
      <c r="G223" s="15" t="s">
        <v>14</v>
      </c>
      <c r="H223" s="18"/>
      <c r="I223" s="15"/>
      <c r="J223" s="15" t="n">
        <v>0</v>
      </c>
      <c r="K223" s="18" t="str">
        <f aca="false">IF(J223&gt;=5,"Done",IF(H223="","",H223+CHOOSE(J223+1,1,3,7,21,60)))</f>
        <v/>
      </c>
      <c r="L223" s="16"/>
    </row>
    <row r="224" customFormat="false" ht="15" hidden="false" customHeight="false" outlineLevel="0" collapsed="false">
      <c r="A224" s="15" t="n">
        <v>223</v>
      </c>
      <c r="B224" s="15" t="n">
        <v>19</v>
      </c>
      <c r="C224" s="16" t="s">
        <v>127</v>
      </c>
      <c r="D224" s="17" t="s">
        <v>404</v>
      </c>
      <c r="E224" s="15" t="s">
        <v>185</v>
      </c>
      <c r="F224" s="15" t="s">
        <v>58</v>
      </c>
      <c r="G224" s="15" t="s">
        <v>14</v>
      </c>
      <c r="H224" s="18"/>
      <c r="I224" s="15"/>
      <c r="J224" s="15" t="n">
        <v>0</v>
      </c>
      <c r="K224" s="18" t="str">
        <f aca="false">IF(J224&gt;=5,"Done",IF(H224="","",H224+CHOOSE(J224+1,1,3,7,21,60)))</f>
        <v/>
      </c>
      <c r="L224" s="16"/>
    </row>
    <row r="225" customFormat="false" ht="15" hidden="false" customHeight="false" outlineLevel="0" collapsed="false">
      <c r="A225" s="15" t="n">
        <v>224</v>
      </c>
      <c r="B225" s="15" t="n">
        <v>19</v>
      </c>
      <c r="C225" s="16" t="s">
        <v>127</v>
      </c>
      <c r="D225" s="17" t="s">
        <v>405</v>
      </c>
      <c r="E225" s="15" t="s">
        <v>198</v>
      </c>
      <c r="F225" s="15" t="s">
        <v>58</v>
      </c>
      <c r="G225" s="15" t="s">
        <v>14</v>
      </c>
      <c r="H225" s="18"/>
      <c r="I225" s="15"/>
      <c r="J225" s="15" t="n">
        <v>0</v>
      </c>
      <c r="K225" s="18" t="str">
        <f aca="false">IF(J225&gt;=5,"Done",IF(H225="","",H225+CHOOSE(J225+1,1,3,7,21,60)))</f>
        <v/>
      </c>
      <c r="L225" s="16"/>
    </row>
    <row r="226" customFormat="false" ht="15" hidden="false" customHeight="false" outlineLevel="0" collapsed="false">
      <c r="A226" s="15" t="n">
        <v>225</v>
      </c>
      <c r="B226" s="15" t="n">
        <v>19</v>
      </c>
      <c r="C226" s="16" t="s">
        <v>127</v>
      </c>
      <c r="D226" s="17" t="s">
        <v>406</v>
      </c>
      <c r="E226" s="15" t="s">
        <v>185</v>
      </c>
      <c r="F226" s="15" t="s">
        <v>56</v>
      </c>
      <c r="G226" s="15" t="s">
        <v>14</v>
      </c>
      <c r="H226" s="18"/>
      <c r="I226" s="15"/>
      <c r="J226" s="15" t="n">
        <v>0</v>
      </c>
      <c r="K226" s="18" t="str">
        <f aca="false">IF(J226&gt;=5,"Done",IF(H226="","",H226+CHOOSE(J226+1,1,3,7,21,60)))</f>
        <v/>
      </c>
      <c r="L226" s="16"/>
    </row>
    <row r="227" customFormat="false" ht="15" hidden="false" customHeight="false" outlineLevel="0" collapsed="false">
      <c r="A227" s="15" t="n">
        <v>226</v>
      </c>
      <c r="B227" s="15" t="n">
        <v>19</v>
      </c>
      <c r="C227" s="16" t="s">
        <v>127</v>
      </c>
      <c r="D227" s="17" t="s">
        <v>407</v>
      </c>
      <c r="E227" s="15" t="s">
        <v>185</v>
      </c>
      <c r="F227" s="15" t="s">
        <v>56</v>
      </c>
      <c r="G227" s="15" t="s">
        <v>14</v>
      </c>
      <c r="H227" s="18"/>
      <c r="I227" s="15"/>
      <c r="J227" s="15" t="n">
        <v>0</v>
      </c>
      <c r="K227" s="18" t="str">
        <f aca="false">IF(J227&gt;=5,"Done",IF(H227="","",H227+CHOOSE(J227+1,1,3,7,21,60)))</f>
        <v/>
      </c>
      <c r="L227" s="16"/>
    </row>
    <row r="228" customFormat="false" ht="15" hidden="false" customHeight="false" outlineLevel="0" collapsed="false">
      <c r="A228" s="15" t="n">
        <v>227</v>
      </c>
      <c r="B228" s="15" t="n">
        <v>19</v>
      </c>
      <c r="C228" s="16" t="s">
        <v>127</v>
      </c>
      <c r="D228" s="17" t="s">
        <v>408</v>
      </c>
      <c r="E228" s="15" t="s">
        <v>185</v>
      </c>
      <c r="F228" s="15" t="s">
        <v>58</v>
      </c>
      <c r="G228" s="15" t="s">
        <v>14</v>
      </c>
      <c r="H228" s="18"/>
      <c r="I228" s="15"/>
      <c r="J228" s="15" t="n">
        <v>0</v>
      </c>
      <c r="K228" s="18" t="str">
        <f aca="false">IF(J228&gt;=5,"Done",IF(H228="","",H228+CHOOSE(J228+1,1,3,7,21,60)))</f>
        <v/>
      </c>
      <c r="L228" s="16"/>
    </row>
    <row r="229" customFormat="false" ht="15" hidden="false" customHeight="false" outlineLevel="0" collapsed="false">
      <c r="A229" s="15" t="n">
        <v>228</v>
      </c>
      <c r="B229" s="15" t="n">
        <v>19</v>
      </c>
      <c r="C229" s="16" t="s">
        <v>127</v>
      </c>
      <c r="D229" s="17" t="s">
        <v>409</v>
      </c>
      <c r="E229" s="15" t="s">
        <v>185</v>
      </c>
      <c r="F229" s="15" t="s">
        <v>58</v>
      </c>
      <c r="G229" s="15" t="s">
        <v>14</v>
      </c>
      <c r="H229" s="18"/>
      <c r="I229" s="15"/>
      <c r="J229" s="15" t="n">
        <v>0</v>
      </c>
      <c r="K229" s="18" t="str">
        <f aca="false">IF(J229&gt;=5,"Done",IF(H229="","",H229+CHOOSE(J229+1,1,3,7,21,60)))</f>
        <v/>
      </c>
      <c r="L229" s="16"/>
    </row>
    <row r="230" customFormat="false" ht="15" hidden="false" customHeight="false" outlineLevel="0" collapsed="false">
      <c r="A230" s="15" t="n">
        <v>229</v>
      </c>
      <c r="B230" s="15" t="n">
        <v>19</v>
      </c>
      <c r="C230" s="16" t="s">
        <v>127</v>
      </c>
      <c r="D230" s="17" t="s">
        <v>410</v>
      </c>
      <c r="E230" s="15" t="s">
        <v>185</v>
      </c>
      <c r="F230" s="15" t="s">
        <v>56</v>
      </c>
      <c r="G230" s="15" t="s">
        <v>14</v>
      </c>
      <c r="H230" s="18"/>
      <c r="I230" s="15"/>
      <c r="J230" s="15" t="n">
        <v>0</v>
      </c>
      <c r="K230" s="18" t="str">
        <f aca="false">IF(J230&gt;=5,"Done",IF(H230="","",H230+CHOOSE(J230+1,1,3,7,21,60)))</f>
        <v/>
      </c>
      <c r="L230" s="16"/>
    </row>
    <row r="231" customFormat="false" ht="15" hidden="false" customHeight="false" outlineLevel="0" collapsed="false">
      <c r="A231" s="15" t="n">
        <v>230</v>
      </c>
      <c r="B231" s="15" t="n">
        <v>19</v>
      </c>
      <c r="C231" s="16" t="s">
        <v>127</v>
      </c>
      <c r="D231" s="17" t="s">
        <v>411</v>
      </c>
      <c r="E231" s="15" t="s">
        <v>185</v>
      </c>
      <c r="F231" s="15" t="s">
        <v>56</v>
      </c>
      <c r="G231" s="15" t="s">
        <v>14</v>
      </c>
      <c r="H231" s="18"/>
      <c r="I231" s="15"/>
      <c r="J231" s="15" t="n">
        <v>0</v>
      </c>
      <c r="K231" s="18" t="str">
        <f aca="false">IF(J231&gt;=5,"Done",IF(H231="","",H231+CHOOSE(J231+1,1,3,7,21,60)))</f>
        <v/>
      </c>
      <c r="L231" s="16"/>
    </row>
    <row r="232" customFormat="false" ht="15" hidden="false" customHeight="false" outlineLevel="0" collapsed="false">
      <c r="A232" s="15" t="n">
        <v>231</v>
      </c>
      <c r="B232" s="15" t="n">
        <v>19</v>
      </c>
      <c r="C232" s="16" t="s">
        <v>127</v>
      </c>
      <c r="D232" s="17" t="s">
        <v>412</v>
      </c>
      <c r="E232" s="15" t="s">
        <v>185</v>
      </c>
      <c r="F232" s="15" t="s">
        <v>58</v>
      </c>
      <c r="G232" s="15" t="s">
        <v>14</v>
      </c>
      <c r="H232" s="18"/>
      <c r="I232" s="15"/>
      <c r="J232" s="15" t="n">
        <v>0</v>
      </c>
      <c r="K232" s="18" t="str">
        <f aca="false">IF(J232&gt;=5,"Done",IF(H232="","",H232+CHOOSE(J232+1,1,3,7,21,60)))</f>
        <v/>
      </c>
      <c r="L232" s="16"/>
    </row>
    <row r="233" customFormat="false" ht="15" hidden="false" customHeight="false" outlineLevel="0" collapsed="false">
      <c r="A233" s="15" t="n">
        <v>232</v>
      </c>
      <c r="B233" s="15" t="n">
        <v>19</v>
      </c>
      <c r="C233" s="16" t="s">
        <v>127</v>
      </c>
      <c r="D233" s="17" t="s">
        <v>413</v>
      </c>
      <c r="E233" s="15" t="s">
        <v>185</v>
      </c>
      <c r="F233" s="15" t="s">
        <v>56</v>
      </c>
      <c r="G233" s="15" t="s">
        <v>14</v>
      </c>
      <c r="H233" s="18"/>
      <c r="I233" s="15"/>
      <c r="J233" s="15" t="n">
        <v>0</v>
      </c>
      <c r="K233" s="18" t="str">
        <f aca="false">IF(J233&gt;=5,"Done",IF(H233="","",H233+CHOOSE(J233+1,1,3,7,21,60)))</f>
        <v/>
      </c>
      <c r="L233" s="16"/>
    </row>
    <row r="234" customFormat="false" ht="15" hidden="false" customHeight="false" outlineLevel="0" collapsed="false">
      <c r="A234" s="15" t="n">
        <v>233</v>
      </c>
      <c r="B234" s="15" t="n">
        <v>20</v>
      </c>
      <c r="C234" s="16" t="s">
        <v>129</v>
      </c>
      <c r="D234" s="17" t="s">
        <v>414</v>
      </c>
      <c r="E234" s="15" t="s">
        <v>185</v>
      </c>
      <c r="F234" s="15" t="s">
        <v>56</v>
      </c>
      <c r="G234" s="15" t="s">
        <v>14</v>
      </c>
      <c r="H234" s="18"/>
      <c r="I234" s="15"/>
      <c r="J234" s="15" t="n">
        <v>0</v>
      </c>
      <c r="K234" s="18" t="str">
        <f aca="false">IF(J234&gt;=5,"Done",IF(H234="","",H234+CHOOSE(J234+1,1,3,7,21,60)))</f>
        <v/>
      </c>
      <c r="L234" s="16"/>
    </row>
    <row r="235" customFormat="false" ht="15" hidden="false" customHeight="false" outlineLevel="0" collapsed="false">
      <c r="A235" s="15" t="n">
        <v>234</v>
      </c>
      <c r="B235" s="15" t="n">
        <v>20</v>
      </c>
      <c r="C235" s="16" t="s">
        <v>129</v>
      </c>
      <c r="D235" s="17" t="s">
        <v>415</v>
      </c>
      <c r="E235" s="15" t="s">
        <v>185</v>
      </c>
      <c r="F235" s="15" t="s">
        <v>58</v>
      </c>
      <c r="G235" s="15" t="s">
        <v>14</v>
      </c>
      <c r="H235" s="18"/>
      <c r="I235" s="15"/>
      <c r="J235" s="15" t="n">
        <v>0</v>
      </c>
      <c r="K235" s="18" t="str">
        <f aca="false">IF(J235&gt;=5,"Done",IF(H235="","",H235+CHOOSE(J235+1,1,3,7,21,60)))</f>
        <v/>
      </c>
      <c r="L235" s="16"/>
    </row>
    <row r="236" customFormat="false" ht="15" hidden="false" customHeight="false" outlineLevel="0" collapsed="false">
      <c r="A236" s="15" t="n">
        <v>235</v>
      </c>
      <c r="B236" s="15" t="n">
        <v>20</v>
      </c>
      <c r="C236" s="16" t="s">
        <v>129</v>
      </c>
      <c r="D236" s="17" t="s">
        <v>416</v>
      </c>
      <c r="E236" s="15" t="s">
        <v>185</v>
      </c>
      <c r="F236" s="15" t="s">
        <v>58</v>
      </c>
      <c r="G236" s="15" t="s">
        <v>14</v>
      </c>
      <c r="H236" s="18"/>
      <c r="I236" s="15"/>
      <c r="J236" s="15" t="n">
        <v>0</v>
      </c>
      <c r="K236" s="18" t="str">
        <f aca="false">IF(J236&gt;=5,"Done",IF(H236="","",H236+CHOOSE(J236+1,1,3,7,21,60)))</f>
        <v/>
      </c>
      <c r="L236" s="16"/>
    </row>
    <row r="237" customFormat="false" ht="15" hidden="false" customHeight="false" outlineLevel="0" collapsed="false">
      <c r="A237" s="15" t="n">
        <v>236</v>
      </c>
      <c r="B237" s="15" t="n">
        <v>20</v>
      </c>
      <c r="C237" s="16" t="s">
        <v>129</v>
      </c>
      <c r="D237" s="17" t="s">
        <v>417</v>
      </c>
      <c r="E237" s="15" t="s">
        <v>185</v>
      </c>
      <c r="F237" s="15" t="s">
        <v>58</v>
      </c>
      <c r="G237" s="15" t="s">
        <v>14</v>
      </c>
      <c r="H237" s="18"/>
      <c r="I237" s="15"/>
      <c r="J237" s="15" t="n">
        <v>0</v>
      </c>
      <c r="K237" s="18" t="str">
        <f aca="false">IF(J237&gt;=5,"Done",IF(H237="","",H237+CHOOSE(J237+1,1,3,7,21,60)))</f>
        <v/>
      </c>
      <c r="L237" s="16"/>
    </row>
    <row r="238" customFormat="false" ht="15" hidden="false" customHeight="false" outlineLevel="0" collapsed="false">
      <c r="A238" s="15" t="n">
        <v>237</v>
      </c>
      <c r="B238" s="15" t="n">
        <v>20</v>
      </c>
      <c r="C238" s="16" t="s">
        <v>129</v>
      </c>
      <c r="D238" s="17" t="s">
        <v>418</v>
      </c>
      <c r="E238" s="15" t="s">
        <v>185</v>
      </c>
      <c r="F238" s="15" t="s">
        <v>58</v>
      </c>
      <c r="G238" s="15" t="s">
        <v>14</v>
      </c>
      <c r="H238" s="18"/>
      <c r="I238" s="15"/>
      <c r="J238" s="15" t="n">
        <v>0</v>
      </c>
      <c r="K238" s="18" t="str">
        <f aca="false">IF(J238&gt;=5,"Done",IF(H238="","",H238+CHOOSE(J238+1,1,3,7,21,60)))</f>
        <v/>
      </c>
      <c r="L238" s="16"/>
    </row>
    <row r="239" customFormat="false" ht="15" hidden="false" customHeight="false" outlineLevel="0" collapsed="false">
      <c r="A239" s="15" t="n">
        <v>238</v>
      </c>
      <c r="B239" s="15" t="n">
        <v>20</v>
      </c>
      <c r="C239" s="16" t="s">
        <v>129</v>
      </c>
      <c r="D239" s="17" t="s">
        <v>419</v>
      </c>
      <c r="E239" s="15" t="s">
        <v>185</v>
      </c>
      <c r="F239" s="15" t="s">
        <v>56</v>
      </c>
      <c r="G239" s="15" t="s">
        <v>14</v>
      </c>
      <c r="H239" s="18"/>
      <c r="I239" s="15"/>
      <c r="J239" s="15" t="n">
        <v>0</v>
      </c>
      <c r="K239" s="18" t="str">
        <f aca="false">IF(J239&gt;=5,"Done",IF(H239="","",H239+CHOOSE(J239+1,1,3,7,21,60)))</f>
        <v/>
      </c>
      <c r="L239" s="16"/>
    </row>
    <row r="240" customFormat="false" ht="15" hidden="false" customHeight="false" outlineLevel="0" collapsed="false">
      <c r="A240" s="15" t="n">
        <v>239</v>
      </c>
      <c r="B240" s="15" t="n">
        <v>20</v>
      </c>
      <c r="C240" s="16" t="s">
        <v>129</v>
      </c>
      <c r="D240" s="17" t="s">
        <v>420</v>
      </c>
      <c r="E240" s="15" t="s">
        <v>185</v>
      </c>
      <c r="F240" s="15" t="s">
        <v>58</v>
      </c>
      <c r="G240" s="15" t="s">
        <v>14</v>
      </c>
      <c r="H240" s="18"/>
      <c r="I240" s="15"/>
      <c r="J240" s="15" t="n">
        <v>0</v>
      </c>
      <c r="K240" s="18" t="str">
        <f aca="false">IF(J240&gt;=5,"Done",IF(H240="","",H240+CHOOSE(J240+1,1,3,7,21,60)))</f>
        <v/>
      </c>
      <c r="L240" s="16"/>
    </row>
    <row r="241" customFormat="false" ht="15" hidden="false" customHeight="false" outlineLevel="0" collapsed="false">
      <c r="A241" s="15" t="n">
        <v>240</v>
      </c>
      <c r="B241" s="15" t="n">
        <v>20</v>
      </c>
      <c r="C241" s="16" t="s">
        <v>129</v>
      </c>
      <c r="D241" s="17" t="s">
        <v>421</v>
      </c>
      <c r="E241" s="15" t="s">
        <v>198</v>
      </c>
      <c r="F241" s="15" t="s">
        <v>58</v>
      </c>
      <c r="G241" s="15" t="s">
        <v>14</v>
      </c>
      <c r="H241" s="18"/>
      <c r="I241" s="15"/>
      <c r="J241" s="15" t="n">
        <v>0</v>
      </c>
      <c r="K241" s="18" t="str">
        <f aca="false">IF(J241&gt;=5,"Done",IF(H241="","",H241+CHOOSE(J241+1,1,3,7,21,60)))</f>
        <v/>
      </c>
      <c r="L241" s="16"/>
    </row>
    <row r="242" customFormat="false" ht="15" hidden="false" customHeight="false" outlineLevel="0" collapsed="false">
      <c r="A242" s="15" t="n">
        <v>241</v>
      </c>
      <c r="B242" s="15" t="n">
        <v>20</v>
      </c>
      <c r="C242" s="16" t="s">
        <v>129</v>
      </c>
      <c r="D242" s="17" t="s">
        <v>422</v>
      </c>
      <c r="E242" s="15" t="s">
        <v>198</v>
      </c>
      <c r="F242" s="15" t="s">
        <v>58</v>
      </c>
      <c r="G242" s="15" t="s">
        <v>14</v>
      </c>
      <c r="H242" s="18"/>
      <c r="I242" s="15"/>
      <c r="J242" s="15" t="n">
        <v>0</v>
      </c>
      <c r="K242" s="18" t="str">
        <f aca="false">IF(J242&gt;=5,"Done",IF(H242="","",H242+CHOOSE(J242+1,1,3,7,21,60)))</f>
        <v/>
      </c>
      <c r="L242" s="16"/>
    </row>
    <row r="243" customFormat="false" ht="15" hidden="false" customHeight="false" outlineLevel="0" collapsed="false">
      <c r="A243" s="15" t="n">
        <v>242</v>
      </c>
      <c r="B243" s="15" t="n">
        <v>20</v>
      </c>
      <c r="C243" s="16" t="s">
        <v>129</v>
      </c>
      <c r="D243" s="17" t="s">
        <v>423</v>
      </c>
      <c r="E243" s="15" t="s">
        <v>198</v>
      </c>
      <c r="F243" s="15" t="s">
        <v>56</v>
      </c>
      <c r="G243" s="15" t="s">
        <v>14</v>
      </c>
      <c r="H243" s="18"/>
      <c r="I243" s="15"/>
      <c r="J243" s="15" t="n">
        <v>0</v>
      </c>
      <c r="K243" s="18" t="str">
        <f aca="false">IF(J243&gt;=5,"Done",IF(H243="","",H243+CHOOSE(J243+1,1,3,7,21,60)))</f>
        <v/>
      </c>
      <c r="L243" s="16"/>
    </row>
    <row r="244" customFormat="false" ht="15" hidden="false" customHeight="false" outlineLevel="0" collapsed="false">
      <c r="A244" s="15" t="n">
        <v>243</v>
      </c>
      <c r="B244" s="15" t="n">
        <v>21</v>
      </c>
      <c r="C244" s="16" t="s">
        <v>131</v>
      </c>
      <c r="D244" s="17" t="s">
        <v>424</v>
      </c>
      <c r="E244" s="15" t="s">
        <v>185</v>
      </c>
      <c r="F244" s="15" t="s">
        <v>56</v>
      </c>
      <c r="G244" s="15" t="s">
        <v>14</v>
      </c>
      <c r="H244" s="18"/>
      <c r="I244" s="15"/>
      <c r="J244" s="15" t="n">
        <v>0</v>
      </c>
      <c r="K244" s="18" t="str">
        <f aca="false">IF(J244&gt;=5,"Done",IF(H244="","",H244+CHOOSE(J244+1,1,3,7,21,60)))</f>
        <v/>
      </c>
      <c r="L244" s="16"/>
    </row>
    <row r="245" customFormat="false" ht="15" hidden="false" customHeight="false" outlineLevel="0" collapsed="false">
      <c r="A245" s="15" t="n">
        <v>244</v>
      </c>
      <c r="B245" s="15" t="n">
        <v>21</v>
      </c>
      <c r="C245" s="16" t="s">
        <v>131</v>
      </c>
      <c r="D245" s="17" t="s">
        <v>425</v>
      </c>
      <c r="E245" s="15" t="s">
        <v>185</v>
      </c>
      <c r="F245" s="15" t="s">
        <v>56</v>
      </c>
      <c r="G245" s="15" t="s">
        <v>14</v>
      </c>
      <c r="H245" s="18"/>
      <c r="I245" s="15"/>
      <c r="J245" s="15" t="n">
        <v>0</v>
      </c>
      <c r="K245" s="18" t="str">
        <f aca="false">IF(J245&gt;=5,"Done",IF(H245="","",H245+CHOOSE(J245+1,1,3,7,21,60)))</f>
        <v/>
      </c>
      <c r="L245" s="16"/>
    </row>
    <row r="246" customFormat="false" ht="15" hidden="false" customHeight="false" outlineLevel="0" collapsed="false">
      <c r="A246" s="15" t="n">
        <v>245</v>
      </c>
      <c r="B246" s="15" t="n">
        <v>21</v>
      </c>
      <c r="C246" s="16" t="s">
        <v>131</v>
      </c>
      <c r="D246" s="17" t="s">
        <v>426</v>
      </c>
      <c r="E246" s="15" t="s">
        <v>198</v>
      </c>
      <c r="F246" s="15" t="s">
        <v>58</v>
      </c>
      <c r="G246" s="15" t="s">
        <v>14</v>
      </c>
      <c r="H246" s="18"/>
      <c r="I246" s="15"/>
      <c r="J246" s="15" t="n">
        <v>0</v>
      </c>
      <c r="K246" s="18" t="str">
        <f aca="false">IF(J246&gt;=5,"Done",IF(H246="","",H246+CHOOSE(J246+1,1,3,7,21,60)))</f>
        <v/>
      </c>
      <c r="L246" s="16"/>
    </row>
    <row r="247" customFormat="false" ht="15" hidden="false" customHeight="false" outlineLevel="0" collapsed="false">
      <c r="A247" s="15" t="n">
        <v>246</v>
      </c>
      <c r="B247" s="15" t="n">
        <v>21</v>
      </c>
      <c r="C247" s="16" t="s">
        <v>131</v>
      </c>
      <c r="D247" s="17" t="s">
        <v>427</v>
      </c>
      <c r="E247" s="15" t="s">
        <v>185</v>
      </c>
      <c r="F247" s="15" t="s">
        <v>56</v>
      </c>
      <c r="G247" s="15" t="s">
        <v>14</v>
      </c>
      <c r="H247" s="18"/>
      <c r="I247" s="15"/>
      <c r="J247" s="15" t="n">
        <v>0</v>
      </c>
      <c r="K247" s="18" t="str">
        <f aca="false">IF(J247&gt;=5,"Done",IF(H247="","",H247+CHOOSE(J247+1,1,3,7,21,60)))</f>
        <v/>
      </c>
      <c r="L247" s="16"/>
    </row>
    <row r="248" customFormat="false" ht="15" hidden="false" customHeight="false" outlineLevel="0" collapsed="false">
      <c r="A248" s="15" t="n">
        <v>247</v>
      </c>
      <c r="B248" s="15" t="n">
        <v>21</v>
      </c>
      <c r="C248" s="16" t="s">
        <v>131</v>
      </c>
      <c r="D248" s="17" t="s">
        <v>428</v>
      </c>
      <c r="E248" s="15" t="s">
        <v>185</v>
      </c>
      <c r="F248" s="15" t="s">
        <v>58</v>
      </c>
      <c r="G248" s="15" t="s">
        <v>14</v>
      </c>
      <c r="H248" s="18"/>
      <c r="I248" s="15"/>
      <c r="J248" s="15" t="n">
        <v>0</v>
      </c>
      <c r="K248" s="18" t="str">
        <f aca="false">IF(J248&gt;=5,"Done",IF(H248="","",H248+CHOOSE(J248+1,1,3,7,21,60)))</f>
        <v/>
      </c>
      <c r="L248" s="16"/>
    </row>
    <row r="249" customFormat="false" ht="15" hidden="false" customHeight="false" outlineLevel="0" collapsed="false">
      <c r="A249" s="15" t="n">
        <v>248</v>
      </c>
      <c r="B249" s="15" t="n">
        <v>21</v>
      </c>
      <c r="C249" s="16" t="s">
        <v>131</v>
      </c>
      <c r="D249" s="17" t="s">
        <v>429</v>
      </c>
      <c r="E249" s="15" t="s">
        <v>185</v>
      </c>
      <c r="F249" s="15" t="s">
        <v>58</v>
      </c>
      <c r="G249" s="15" t="s">
        <v>14</v>
      </c>
      <c r="H249" s="18"/>
      <c r="I249" s="15"/>
      <c r="J249" s="15" t="n">
        <v>0</v>
      </c>
      <c r="K249" s="18" t="str">
        <f aca="false">IF(J249&gt;=5,"Done",IF(H249="","",H249+CHOOSE(J249+1,1,3,7,21,60)))</f>
        <v/>
      </c>
      <c r="L249" s="16"/>
    </row>
    <row r="250" customFormat="false" ht="15" hidden="false" customHeight="false" outlineLevel="0" collapsed="false">
      <c r="A250" s="15" t="n">
        <v>249</v>
      </c>
      <c r="B250" s="15" t="n">
        <v>21</v>
      </c>
      <c r="C250" s="16" t="s">
        <v>131</v>
      </c>
      <c r="D250" s="17" t="s">
        <v>430</v>
      </c>
      <c r="E250" s="15" t="s">
        <v>198</v>
      </c>
      <c r="F250" s="15" t="s">
        <v>58</v>
      </c>
      <c r="G250" s="15" t="s">
        <v>14</v>
      </c>
      <c r="H250" s="18"/>
      <c r="I250" s="15"/>
      <c r="J250" s="15" t="n">
        <v>0</v>
      </c>
      <c r="K250" s="18" t="str">
        <f aca="false">IF(J250&gt;=5,"Done",IF(H250="","",H250+CHOOSE(J250+1,1,3,7,21,60)))</f>
        <v/>
      </c>
      <c r="L250" s="16"/>
    </row>
    <row r="251" customFormat="false" ht="15" hidden="false" customHeight="false" outlineLevel="0" collapsed="false">
      <c r="A251" s="15" t="n">
        <v>250</v>
      </c>
      <c r="B251" s="15" t="n">
        <v>21</v>
      </c>
      <c r="C251" s="16" t="s">
        <v>131</v>
      </c>
      <c r="D251" s="17" t="s">
        <v>431</v>
      </c>
      <c r="E251" s="15" t="s">
        <v>198</v>
      </c>
      <c r="F251" s="15" t="s">
        <v>58</v>
      </c>
      <c r="G251" s="15" t="s">
        <v>14</v>
      </c>
      <c r="H251" s="18"/>
      <c r="I251" s="15"/>
      <c r="J251" s="15" t="n">
        <v>0</v>
      </c>
      <c r="K251" s="18" t="str">
        <f aca="false">IF(J251&gt;=5,"Done",IF(H251="","",H251+CHOOSE(J251+1,1,3,7,21,60)))</f>
        <v/>
      </c>
      <c r="L251" s="16"/>
    </row>
    <row r="252" customFormat="false" ht="15" hidden="false" customHeight="false" outlineLevel="0" collapsed="false">
      <c r="A252" s="15" t="n">
        <v>251</v>
      </c>
      <c r="B252" s="15" t="n">
        <v>21</v>
      </c>
      <c r="C252" s="16" t="s">
        <v>131</v>
      </c>
      <c r="D252" s="17" t="s">
        <v>432</v>
      </c>
      <c r="E252" s="15" t="s">
        <v>198</v>
      </c>
      <c r="F252" s="15" t="s">
        <v>58</v>
      </c>
      <c r="G252" s="15" t="s">
        <v>14</v>
      </c>
      <c r="H252" s="18"/>
      <c r="I252" s="15"/>
      <c r="J252" s="15" t="n">
        <v>0</v>
      </c>
      <c r="K252" s="18" t="str">
        <f aca="false">IF(J252&gt;=5,"Done",IF(H252="","",H252+CHOOSE(J252+1,1,3,7,21,60)))</f>
        <v/>
      </c>
      <c r="L252" s="16"/>
    </row>
    <row r="253" customFormat="false" ht="15" hidden="false" customHeight="false" outlineLevel="0" collapsed="false">
      <c r="A253" s="15" t="n">
        <v>252</v>
      </c>
      <c r="B253" s="15" t="n">
        <v>21</v>
      </c>
      <c r="C253" s="16" t="s">
        <v>131</v>
      </c>
      <c r="D253" s="17" t="s">
        <v>433</v>
      </c>
      <c r="E253" s="15" t="s">
        <v>198</v>
      </c>
      <c r="F253" s="15" t="s">
        <v>56</v>
      </c>
      <c r="G253" s="15" t="s">
        <v>14</v>
      </c>
      <c r="H253" s="18"/>
      <c r="I253" s="15"/>
      <c r="J253" s="15" t="n">
        <v>0</v>
      </c>
      <c r="K253" s="18" t="str">
        <f aca="false">IF(J253&gt;=5,"Done",IF(H253="","",H253+CHOOSE(J253+1,1,3,7,21,60)))</f>
        <v/>
      </c>
      <c r="L253" s="16"/>
    </row>
    <row r="254" customFormat="false" ht="15" hidden="false" customHeight="false" outlineLevel="0" collapsed="false">
      <c r="A254" s="15" t="n">
        <v>253</v>
      </c>
      <c r="B254" s="15" t="n">
        <v>21</v>
      </c>
      <c r="C254" s="16" t="s">
        <v>131</v>
      </c>
      <c r="D254" s="17" t="s">
        <v>434</v>
      </c>
      <c r="E254" s="15" t="s">
        <v>198</v>
      </c>
      <c r="F254" s="15" t="s">
        <v>58</v>
      </c>
      <c r="G254" s="15" t="s">
        <v>14</v>
      </c>
      <c r="H254" s="18"/>
      <c r="I254" s="15"/>
      <c r="J254" s="15" t="n">
        <v>0</v>
      </c>
      <c r="K254" s="18" t="str">
        <f aca="false">IF(J254&gt;=5,"Done",IF(H254="","",H254+CHOOSE(J254+1,1,3,7,21,60)))</f>
        <v/>
      </c>
      <c r="L254" s="16"/>
    </row>
    <row r="255" customFormat="false" ht="15" hidden="false" customHeight="false" outlineLevel="0" collapsed="false">
      <c r="A255" s="15" t="n">
        <v>254</v>
      </c>
      <c r="B255" s="15" t="n">
        <v>22</v>
      </c>
      <c r="C255" s="16" t="s">
        <v>133</v>
      </c>
      <c r="D255" s="17" t="s">
        <v>435</v>
      </c>
      <c r="E255" s="15" t="s">
        <v>185</v>
      </c>
      <c r="F255" s="15" t="s">
        <v>56</v>
      </c>
      <c r="G255" s="15" t="s">
        <v>14</v>
      </c>
      <c r="H255" s="18"/>
      <c r="I255" s="15"/>
      <c r="J255" s="15" t="n">
        <v>0</v>
      </c>
      <c r="K255" s="18" t="str">
        <f aca="false">IF(J255&gt;=5,"Done",IF(H255="","",H255+CHOOSE(J255+1,1,3,7,21,60)))</f>
        <v/>
      </c>
      <c r="L255" s="16"/>
    </row>
    <row r="256" customFormat="false" ht="15" hidden="false" customHeight="false" outlineLevel="0" collapsed="false">
      <c r="A256" s="15" t="n">
        <v>255</v>
      </c>
      <c r="B256" s="15" t="n">
        <v>22</v>
      </c>
      <c r="C256" s="16" t="s">
        <v>133</v>
      </c>
      <c r="D256" s="17" t="s">
        <v>436</v>
      </c>
      <c r="E256" s="15" t="s">
        <v>185</v>
      </c>
      <c r="F256" s="15" t="s">
        <v>58</v>
      </c>
      <c r="G256" s="15" t="s">
        <v>14</v>
      </c>
      <c r="H256" s="18"/>
      <c r="I256" s="15"/>
      <c r="J256" s="15" t="n">
        <v>0</v>
      </c>
      <c r="K256" s="18" t="str">
        <f aca="false">IF(J256&gt;=5,"Done",IF(H256="","",H256+CHOOSE(J256+1,1,3,7,21,60)))</f>
        <v/>
      </c>
      <c r="L256" s="16"/>
    </row>
    <row r="257" customFormat="false" ht="15" hidden="false" customHeight="false" outlineLevel="0" collapsed="false">
      <c r="A257" s="15" t="n">
        <v>256</v>
      </c>
      <c r="B257" s="15" t="n">
        <v>22</v>
      </c>
      <c r="C257" s="16" t="s">
        <v>133</v>
      </c>
      <c r="D257" s="17" t="s">
        <v>437</v>
      </c>
      <c r="E257" s="15" t="s">
        <v>198</v>
      </c>
      <c r="F257" s="15" t="s">
        <v>58</v>
      </c>
      <c r="G257" s="15" t="s">
        <v>14</v>
      </c>
      <c r="H257" s="18"/>
      <c r="I257" s="15"/>
      <c r="J257" s="15" t="n">
        <v>0</v>
      </c>
      <c r="K257" s="18" t="str">
        <f aca="false">IF(J257&gt;=5,"Done",IF(H257="","",H257+CHOOSE(J257+1,1,3,7,21,60)))</f>
        <v/>
      </c>
      <c r="L257" s="16"/>
    </row>
    <row r="258" customFormat="false" ht="15" hidden="false" customHeight="false" outlineLevel="0" collapsed="false">
      <c r="A258" s="15" t="n">
        <v>257</v>
      </c>
      <c r="B258" s="15" t="n">
        <v>22</v>
      </c>
      <c r="C258" s="16" t="s">
        <v>133</v>
      </c>
      <c r="D258" s="17" t="s">
        <v>438</v>
      </c>
      <c r="E258" s="15" t="s">
        <v>198</v>
      </c>
      <c r="F258" s="15" t="s">
        <v>58</v>
      </c>
      <c r="G258" s="15" t="s">
        <v>14</v>
      </c>
      <c r="H258" s="18"/>
      <c r="I258" s="15"/>
      <c r="J258" s="15" t="n">
        <v>0</v>
      </c>
      <c r="K258" s="18" t="str">
        <f aca="false">IF(J258&gt;=5,"Done",IF(H258="","",H258+CHOOSE(J258+1,1,3,7,21,60)))</f>
        <v/>
      </c>
      <c r="L258" s="16"/>
    </row>
    <row r="259" customFormat="false" ht="15" hidden="false" customHeight="false" outlineLevel="0" collapsed="false">
      <c r="A259" s="15" t="n">
        <v>258</v>
      </c>
      <c r="B259" s="15" t="n">
        <v>22</v>
      </c>
      <c r="C259" s="16" t="s">
        <v>133</v>
      </c>
      <c r="D259" s="17" t="s">
        <v>439</v>
      </c>
      <c r="E259" s="15" t="s">
        <v>185</v>
      </c>
      <c r="F259" s="15" t="s">
        <v>58</v>
      </c>
      <c r="G259" s="15" t="s">
        <v>14</v>
      </c>
      <c r="H259" s="18"/>
      <c r="I259" s="15"/>
      <c r="J259" s="15" t="n">
        <v>0</v>
      </c>
      <c r="K259" s="18" t="str">
        <f aca="false">IF(J259&gt;=5,"Done",IF(H259="","",H259+CHOOSE(J259+1,1,3,7,21,60)))</f>
        <v/>
      </c>
      <c r="L259" s="16"/>
    </row>
    <row r="260" customFormat="false" ht="15" hidden="false" customHeight="false" outlineLevel="0" collapsed="false">
      <c r="A260" s="15" t="n">
        <v>259</v>
      </c>
      <c r="B260" s="15" t="n">
        <v>22</v>
      </c>
      <c r="C260" s="16" t="s">
        <v>133</v>
      </c>
      <c r="D260" s="17" t="s">
        <v>440</v>
      </c>
      <c r="E260" s="15" t="s">
        <v>198</v>
      </c>
      <c r="F260" s="15" t="s">
        <v>56</v>
      </c>
      <c r="G260" s="15" t="s">
        <v>14</v>
      </c>
      <c r="H260" s="18"/>
      <c r="I260" s="15"/>
      <c r="J260" s="15" t="n">
        <v>0</v>
      </c>
      <c r="K260" s="18" t="str">
        <f aca="false">IF(J260&gt;=5,"Done",IF(H260="","",H260+CHOOSE(J260+1,1,3,7,21,60)))</f>
        <v/>
      </c>
      <c r="L260" s="16"/>
    </row>
    <row r="261" customFormat="false" ht="15" hidden="false" customHeight="false" outlineLevel="0" collapsed="false">
      <c r="A261" s="15" t="n">
        <v>260</v>
      </c>
      <c r="B261" s="15" t="n">
        <v>22</v>
      </c>
      <c r="C261" s="16" t="s">
        <v>133</v>
      </c>
      <c r="D261" s="17" t="s">
        <v>441</v>
      </c>
      <c r="E261" s="15" t="s">
        <v>198</v>
      </c>
      <c r="F261" s="15" t="s">
        <v>58</v>
      </c>
      <c r="G261" s="15" t="s">
        <v>14</v>
      </c>
      <c r="H261" s="18"/>
      <c r="I261" s="15"/>
      <c r="J261" s="15" t="n">
        <v>0</v>
      </c>
      <c r="K261" s="18" t="str">
        <f aca="false">IF(J261&gt;=5,"Done",IF(H261="","",H261+CHOOSE(J261+1,1,3,7,21,60)))</f>
        <v/>
      </c>
      <c r="L261" s="16"/>
    </row>
    <row r="262" customFormat="false" ht="15" hidden="false" customHeight="false" outlineLevel="0" collapsed="false">
      <c r="A262" s="15" t="n">
        <v>261</v>
      </c>
      <c r="B262" s="15" t="n">
        <v>22</v>
      </c>
      <c r="C262" s="16" t="s">
        <v>133</v>
      </c>
      <c r="D262" s="17" t="s">
        <v>442</v>
      </c>
      <c r="E262" s="15" t="s">
        <v>185</v>
      </c>
      <c r="F262" s="15" t="s">
        <v>58</v>
      </c>
      <c r="G262" s="15" t="s">
        <v>14</v>
      </c>
      <c r="H262" s="18"/>
      <c r="I262" s="15"/>
      <c r="J262" s="15" t="n">
        <v>0</v>
      </c>
      <c r="K262" s="18" t="str">
        <f aca="false">IF(J262&gt;=5,"Done",IF(H262="","",H262+CHOOSE(J262+1,1,3,7,21,60)))</f>
        <v/>
      </c>
      <c r="L262" s="16"/>
    </row>
    <row r="263" customFormat="false" ht="15" hidden="false" customHeight="false" outlineLevel="0" collapsed="false">
      <c r="A263" s="15" t="n">
        <v>262</v>
      </c>
      <c r="B263" s="15" t="n">
        <v>22</v>
      </c>
      <c r="C263" s="16" t="s">
        <v>133</v>
      </c>
      <c r="D263" s="17" t="s">
        <v>443</v>
      </c>
      <c r="E263" s="15" t="s">
        <v>185</v>
      </c>
      <c r="F263" s="15" t="s">
        <v>58</v>
      </c>
      <c r="G263" s="15" t="s">
        <v>14</v>
      </c>
      <c r="H263" s="18"/>
      <c r="I263" s="15"/>
      <c r="J263" s="15" t="n">
        <v>0</v>
      </c>
      <c r="K263" s="18" t="str">
        <f aca="false">IF(J263&gt;=5,"Done",IF(H263="","",H263+CHOOSE(J263+1,1,3,7,21,60)))</f>
        <v/>
      </c>
      <c r="L263" s="16"/>
    </row>
    <row r="264" customFormat="false" ht="15" hidden="false" customHeight="false" outlineLevel="0" collapsed="false">
      <c r="A264" s="15" t="n">
        <v>263</v>
      </c>
      <c r="B264" s="15" t="n">
        <v>22</v>
      </c>
      <c r="C264" s="16" t="s">
        <v>133</v>
      </c>
      <c r="D264" s="17" t="s">
        <v>444</v>
      </c>
      <c r="E264" s="15" t="s">
        <v>185</v>
      </c>
      <c r="F264" s="15" t="s">
        <v>58</v>
      </c>
      <c r="G264" s="15" t="s">
        <v>14</v>
      </c>
      <c r="H264" s="18"/>
      <c r="I264" s="15"/>
      <c r="J264" s="15" t="n">
        <v>0</v>
      </c>
      <c r="K264" s="18" t="str">
        <f aca="false">IF(J264&gt;=5,"Done",IF(H264="","",H264+CHOOSE(J264+1,1,3,7,21,60)))</f>
        <v/>
      </c>
      <c r="L264" s="16"/>
    </row>
    <row r="265" customFormat="false" ht="15" hidden="false" customHeight="false" outlineLevel="0" collapsed="false">
      <c r="A265" s="15" t="n">
        <v>264</v>
      </c>
      <c r="B265" s="15" t="n">
        <v>22</v>
      </c>
      <c r="C265" s="16" t="s">
        <v>133</v>
      </c>
      <c r="D265" s="17" t="s">
        <v>445</v>
      </c>
      <c r="E265" s="15" t="s">
        <v>198</v>
      </c>
      <c r="F265" s="15" t="s">
        <v>58</v>
      </c>
      <c r="G265" s="15" t="s">
        <v>14</v>
      </c>
      <c r="H265" s="18"/>
      <c r="I265" s="15"/>
      <c r="J265" s="15" t="n">
        <v>0</v>
      </c>
      <c r="K265" s="18" t="str">
        <f aca="false">IF(J265&gt;=5,"Done",IF(H265="","",H265+CHOOSE(J265+1,1,3,7,21,60)))</f>
        <v/>
      </c>
      <c r="L265" s="16"/>
    </row>
    <row r="266" customFormat="false" ht="15" hidden="false" customHeight="false" outlineLevel="0" collapsed="false">
      <c r="A266" s="15" t="n">
        <v>265</v>
      </c>
      <c r="B266" s="15" t="n">
        <v>23</v>
      </c>
      <c r="C266" s="16" t="s">
        <v>135</v>
      </c>
      <c r="D266" s="17" t="s">
        <v>446</v>
      </c>
      <c r="E266" s="15" t="s">
        <v>198</v>
      </c>
      <c r="F266" s="15" t="s">
        <v>58</v>
      </c>
      <c r="G266" s="15" t="s">
        <v>14</v>
      </c>
      <c r="H266" s="18"/>
      <c r="I266" s="15"/>
      <c r="J266" s="15" t="n">
        <v>0</v>
      </c>
      <c r="K266" s="18" t="str">
        <f aca="false">IF(J266&gt;=5,"Done",IF(H266="","",H266+CHOOSE(J266+1,1,3,7,21,60)))</f>
        <v/>
      </c>
      <c r="L266" s="16"/>
    </row>
    <row r="267" customFormat="false" ht="15" hidden="false" customHeight="false" outlineLevel="0" collapsed="false">
      <c r="A267" s="15" t="n">
        <v>266</v>
      </c>
      <c r="B267" s="15" t="n">
        <v>23</v>
      </c>
      <c r="C267" s="16" t="s">
        <v>135</v>
      </c>
      <c r="D267" s="17" t="s">
        <v>447</v>
      </c>
      <c r="E267" s="15" t="s">
        <v>198</v>
      </c>
      <c r="F267" s="15" t="s">
        <v>58</v>
      </c>
      <c r="G267" s="15" t="s">
        <v>14</v>
      </c>
      <c r="H267" s="18"/>
      <c r="I267" s="15"/>
      <c r="J267" s="15" t="n">
        <v>0</v>
      </c>
      <c r="K267" s="18" t="str">
        <f aca="false">IF(J267&gt;=5,"Done",IF(H267="","",H267+CHOOSE(J267+1,1,3,7,21,60)))</f>
        <v/>
      </c>
      <c r="L267" s="16"/>
    </row>
    <row r="268" customFormat="false" ht="15" hidden="false" customHeight="false" outlineLevel="0" collapsed="false">
      <c r="A268" s="15" t="n">
        <v>267</v>
      </c>
      <c r="B268" s="15" t="n">
        <v>23</v>
      </c>
      <c r="C268" s="16" t="s">
        <v>135</v>
      </c>
      <c r="D268" s="17" t="s">
        <v>448</v>
      </c>
      <c r="E268" s="15" t="s">
        <v>185</v>
      </c>
      <c r="F268" s="15" t="s">
        <v>58</v>
      </c>
      <c r="G268" s="15" t="s">
        <v>14</v>
      </c>
      <c r="H268" s="18"/>
      <c r="I268" s="15"/>
      <c r="J268" s="15" t="n">
        <v>0</v>
      </c>
      <c r="K268" s="18" t="str">
        <f aca="false">IF(J268&gt;=5,"Done",IF(H268="","",H268+CHOOSE(J268+1,1,3,7,21,60)))</f>
        <v/>
      </c>
      <c r="L268" s="16"/>
    </row>
    <row r="269" customFormat="false" ht="15" hidden="false" customHeight="false" outlineLevel="0" collapsed="false">
      <c r="A269" s="15" t="n">
        <v>268</v>
      </c>
      <c r="B269" s="15" t="n">
        <v>23</v>
      </c>
      <c r="C269" s="16" t="s">
        <v>135</v>
      </c>
      <c r="D269" s="17" t="s">
        <v>449</v>
      </c>
      <c r="E269" s="15" t="s">
        <v>198</v>
      </c>
      <c r="F269" s="15" t="s">
        <v>58</v>
      </c>
      <c r="G269" s="15" t="s">
        <v>14</v>
      </c>
      <c r="H269" s="18"/>
      <c r="I269" s="15"/>
      <c r="J269" s="15" t="n">
        <v>0</v>
      </c>
      <c r="K269" s="18" t="str">
        <f aca="false">IF(J269&gt;=5,"Done",IF(H269="","",H269+CHOOSE(J269+1,1,3,7,21,60)))</f>
        <v/>
      </c>
      <c r="L269" s="16"/>
    </row>
    <row r="270" customFormat="false" ht="15" hidden="false" customHeight="false" outlineLevel="0" collapsed="false">
      <c r="A270" s="15" t="n">
        <v>269</v>
      </c>
      <c r="B270" s="15" t="n">
        <v>23</v>
      </c>
      <c r="C270" s="16" t="s">
        <v>135</v>
      </c>
      <c r="D270" s="17" t="s">
        <v>450</v>
      </c>
      <c r="E270" s="15" t="s">
        <v>198</v>
      </c>
      <c r="F270" s="15" t="s">
        <v>58</v>
      </c>
      <c r="G270" s="15" t="s">
        <v>14</v>
      </c>
      <c r="H270" s="18"/>
      <c r="I270" s="15"/>
      <c r="J270" s="15" t="n">
        <v>0</v>
      </c>
      <c r="K270" s="18" t="str">
        <f aca="false">IF(J270&gt;=5,"Done",IF(H270="","",H270+CHOOSE(J270+1,1,3,7,21,60)))</f>
        <v/>
      </c>
      <c r="L270" s="16"/>
    </row>
    <row r="271" customFormat="false" ht="15" hidden="false" customHeight="false" outlineLevel="0" collapsed="false">
      <c r="A271" s="15" t="n">
        <v>270</v>
      </c>
      <c r="B271" s="15" t="n">
        <v>23</v>
      </c>
      <c r="C271" s="16" t="s">
        <v>135</v>
      </c>
      <c r="D271" s="17" t="s">
        <v>451</v>
      </c>
      <c r="E271" s="15" t="s">
        <v>198</v>
      </c>
      <c r="F271" s="15" t="s">
        <v>56</v>
      </c>
      <c r="G271" s="15" t="s">
        <v>14</v>
      </c>
      <c r="H271" s="18"/>
      <c r="I271" s="15"/>
      <c r="J271" s="15" t="n">
        <v>0</v>
      </c>
      <c r="K271" s="18" t="str">
        <f aca="false">IF(J271&gt;=5,"Done",IF(H271="","",H271+CHOOSE(J271+1,1,3,7,21,60)))</f>
        <v/>
      </c>
      <c r="L271" s="16"/>
    </row>
    <row r="272" customFormat="false" ht="15" hidden="false" customHeight="false" outlineLevel="0" collapsed="false">
      <c r="A272" s="15" t="n">
        <v>271</v>
      </c>
      <c r="B272" s="15" t="n">
        <v>23</v>
      </c>
      <c r="C272" s="16" t="s">
        <v>135</v>
      </c>
      <c r="D272" s="17" t="s">
        <v>452</v>
      </c>
      <c r="E272" s="15" t="s">
        <v>198</v>
      </c>
      <c r="F272" s="15" t="s">
        <v>56</v>
      </c>
      <c r="G272" s="15" t="s">
        <v>14</v>
      </c>
      <c r="H272" s="18"/>
      <c r="I272" s="15"/>
      <c r="J272" s="15" t="n">
        <v>0</v>
      </c>
      <c r="K272" s="18" t="str">
        <f aca="false">IF(J272&gt;=5,"Done",IF(H272="","",H272+CHOOSE(J272+1,1,3,7,21,60)))</f>
        <v/>
      </c>
      <c r="L272" s="16"/>
    </row>
    <row r="273" customFormat="false" ht="15" hidden="false" customHeight="false" outlineLevel="0" collapsed="false">
      <c r="A273" s="15" t="n">
        <v>272</v>
      </c>
      <c r="B273" s="15" t="n">
        <v>23</v>
      </c>
      <c r="C273" s="16" t="s">
        <v>135</v>
      </c>
      <c r="D273" s="17" t="s">
        <v>453</v>
      </c>
      <c r="E273" s="15" t="s">
        <v>185</v>
      </c>
      <c r="F273" s="15" t="s">
        <v>58</v>
      </c>
      <c r="G273" s="15" t="s">
        <v>14</v>
      </c>
      <c r="H273" s="18"/>
      <c r="I273" s="15"/>
      <c r="J273" s="15" t="n">
        <v>0</v>
      </c>
      <c r="K273" s="18" t="str">
        <f aca="false">IF(J273&gt;=5,"Done",IF(H273="","",H273+CHOOSE(J273+1,1,3,7,21,60)))</f>
        <v/>
      </c>
      <c r="L273" s="16"/>
    </row>
    <row r="274" customFormat="false" ht="15" hidden="false" customHeight="false" outlineLevel="0" collapsed="false">
      <c r="A274" s="15" t="n">
        <v>273</v>
      </c>
      <c r="B274" s="15" t="n">
        <v>23</v>
      </c>
      <c r="C274" s="16" t="s">
        <v>135</v>
      </c>
      <c r="D274" s="17" t="s">
        <v>454</v>
      </c>
      <c r="E274" s="15" t="s">
        <v>185</v>
      </c>
      <c r="F274" s="15" t="s">
        <v>58</v>
      </c>
      <c r="G274" s="15" t="s">
        <v>14</v>
      </c>
      <c r="H274" s="18"/>
      <c r="I274" s="15"/>
      <c r="J274" s="15" t="n">
        <v>0</v>
      </c>
      <c r="K274" s="18" t="str">
        <f aca="false">IF(J274&gt;=5,"Done",IF(H274="","",H274+CHOOSE(J274+1,1,3,7,21,60)))</f>
        <v/>
      </c>
      <c r="L274" s="16"/>
    </row>
    <row r="275" customFormat="false" ht="15" hidden="false" customHeight="false" outlineLevel="0" collapsed="false">
      <c r="A275" s="15" t="n">
        <v>274</v>
      </c>
      <c r="B275" s="15" t="n">
        <v>24</v>
      </c>
      <c r="C275" s="16" t="s">
        <v>137</v>
      </c>
      <c r="D275" s="17" t="s">
        <v>455</v>
      </c>
      <c r="E275" s="15" t="s">
        <v>185</v>
      </c>
      <c r="F275" s="15" t="s">
        <v>58</v>
      </c>
      <c r="G275" s="15" t="s">
        <v>14</v>
      </c>
      <c r="H275" s="18"/>
      <c r="I275" s="15"/>
      <c r="J275" s="15" t="n">
        <v>0</v>
      </c>
      <c r="K275" s="18" t="str">
        <f aca="false">IF(J275&gt;=5,"Done",IF(H275="","",H275+CHOOSE(J275+1,1,3,7,21,60)))</f>
        <v/>
      </c>
      <c r="L275" s="16"/>
    </row>
    <row r="276" customFormat="false" ht="15" hidden="false" customHeight="false" outlineLevel="0" collapsed="false">
      <c r="A276" s="15" t="n">
        <v>275</v>
      </c>
      <c r="B276" s="15" t="n">
        <v>24</v>
      </c>
      <c r="C276" s="16" t="s">
        <v>137</v>
      </c>
      <c r="D276" s="17" t="s">
        <v>456</v>
      </c>
      <c r="E276" s="15" t="s">
        <v>185</v>
      </c>
      <c r="F276" s="15" t="s">
        <v>58</v>
      </c>
      <c r="G276" s="15" t="s">
        <v>14</v>
      </c>
      <c r="H276" s="18"/>
      <c r="I276" s="15"/>
      <c r="J276" s="15" t="n">
        <v>0</v>
      </c>
      <c r="K276" s="18" t="str">
        <f aca="false">IF(J276&gt;=5,"Done",IF(H276="","",H276+CHOOSE(J276+1,1,3,7,21,60)))</f>
        <v/>
      </c>
      <c r="L276" s="16"/>
    </row>
    <row r="277" customFormat="false" ht="15" hidden="false" customHeight="false" outlineLevel="0" collapsed="false">
      <c r="A277" s="15" t="n">
        <v>276</v>
      </c>
      <c r="B277" s="15" t="n">
        <v>24</v>
      </c>
      <c r="C277" s="16" t="s">
        <v>137</v>
      </c>
      <c r="D277" s="17" t="s">
        <v>457</v>
      </c>
      <c r="E277" s="15" t="s">
        <v>185</v>
      </c>
      <c r="F277" s="15" t="s">
        <v>56</v>
      </c>
      <c r="G277" s="15" t="s">
        <v>14</v>
      </c>
      <c r="H277" s="18"/>
      <c r="I277" s="15"/>
      <c r="J277" s="15" t="n">
        <v>0</v>
      </c>
      <c r="K277" s="18" t="str">
        <f aca="false">IF(J277&gt;=5,"Done",IF(H277="","",H277+CHOOSE(J277+1,1,3,7,21,60)))</f>
        <v/>
      </c>
      <c r="L277" s="16"/>
    </row>
    <row r="278" customFormat="false" ht="15" hidden="false" customHeight="false" outlineLevel="0" collapsed="false">
      <c r="A278" s="15" t="n">
        <v>277</v>
      </c>
      <c r="B278" s="15" t="n">
        <v>24</v>
      </c>
      <c r="C278" s="16" t="s">
        <v>137</v>
      </c>
      <c r="D278" s="17" t="s">
        <v>458</v>
      </c>
      <c r="E278" s="15" t="s">
        <v>185</v>
      </c>
      <c r="F278" s="15" t="s">
        <v>58</v>
      </c>
      <c r="G278" s="15" t="s">
        <v>14</v>
      </c>
      <c r="H278" s="18"/>
      <c r="I278" s="15"/>
      <c r="J278" s="15" t="n">
        <v>0</v>
      </c>
      <c r="K278" s="18" t="str">
        <f aca="false">IF(J278&gt;=5,"Done",IF(H278="","",H278+CHOOSE(J278+1,1,3,7,21,60)))</f>
        <v/>
      </c>
      <c r="L278" s="16"/>
    </row>
    <row r="279" customFormat="false" ht="15" hidden="false" customHeight="false" outlineLevel="0" collapsed="false">
      <c r="A279" s="15" t="n">
        <v>278</v>
      </c>
      <c r="B279" s="15" t="n">
        <v>24</v>
      </c>
      <c r="C279" s="16" t="s">
        <v>137</v>
      </c>
      <c r="D279" s="17" t="s">
        <v>459</v>
      </c>
      <c r="E279" s="15" t="s">
        <v>185</v>
      </c>
      <c r="F279" s="15" t="s">
        <v>58</v>
      </c>
      <c r="G279" s="15" t="s">
        <v>14</v>
      </c>
      <c r="H279" s="18"/>
      <c r="I279" s="15"/>
      <c r="J279" s="15" t="n">
        <v>0</v>
      </c>
      <c r="K279" s="18" t="str">
        <f aca="false">IF(J279&gt;=5,"Done",IF(H279="","",H279+CHOOSE(J279+1,1,3,7,21,60)))</f>
        <v/>
      </c>
      <c r="L279" s="16"/>
    </row>
    <row r="280" customFormat="false" ht="15" hidden="false" customHeight="false" outlineLevel="0" collapsed="false">
      <c r="A280" s="15" t="n">
        <v>279</v>
      </c>
      <c r="B280" s="15" t="n">
        <v>24</v>
      </c>
      <c r="C280" s="16" t="s">
        <v>137</v>
      </c>
      <c r="D280" s="17" t="s">
        <v>460</v>
      </c>
      <c r="E280" s="15" t="s">
        <v>185</v>
      </c>
      <c r="F280" s="15" t="s">
        <v>58</v>
      </c>
      <c r="G280" s="15" t="s">
        <v>14</v>
      </c>
      <c r="H280" s="18"/>
      <c r="I280" s="15"/>
      <c r="J280" s="15" t="n">
        <v>0</v>
      </c>
      <c r="K280" s="18" t="str">
        <f aca="false">IF(J280&gt;=5,"Done",IF(H280="","",H280+CHOOSE(J280+1,1,3,7,21,60)))</f>
        <v/>
      </c>
      <c r="L280" s="16"/>
    </row>
    <row r="281" customFormat="false" ht="15" hidden="false" customHeight="false" outlineLevel="0" collapsed="false">
      <c r="A281" s="15" t="n">
        <v>280</v>
      </c>
      <c r="B281" s="15" t="n">
        <v>24</v>
      </c>
      <c r="C281" s="16" t="s">
        <v>137</v>
      </c>
      <c r="D281" s="17" t="s">
        <v>461</v>
      </c>
      <c r="E281" s="15" t="s">
        <v>185</v>
      </c>
      <c r="F281" s="15" t="s">
        <v>56</v>
      </c>
      <c r="G281" s="15" t="s">
        <v>14</v>
      </c>
      <c r="H281" s="18"/>
      <c r="I281" s="15"/>
      <c r="J281" s="15" t="n">
        <v>0</v>
      </c>
      <c r="K281" s="18" t="str">
        <f aca="false">IF(J281&gt;=5,"Done",IF(H281="","",H281+CHOOSE(J281+1,1,3,7,21,60)))</f>
        <v/>
      </c>
      <c r="L281" s="16"/>
    </row>
    <row r="282" customFormat="false" ht="15" hidden="false" customHeight="false" outlineLevel="0" collapsed="false">
      <c r="A282" s="15" t="n">
        <v>281</v>
      </c>
      <c r="B282" s="15" t="n">
        <v>24</v>
      </c>
      <c r="C282" s="16" t="s">
        <v>137</v>
      </c>
      <c r="D282" s="17" t="s">
        <v>462</v>
      </c>
      <c r="E282" s="15" t="s">
        <v>185</v>
      </c>
      <c r="F282" s="15" t="s">
        <v>58</v>
      </c>
      <c r="G282" s="15" t="s">
        <v>14</v>
      </c>
      <c r="H282" s="18"/>
      <c r="I282" s="15"/>
      <c r="J282" s="15" t="n">
        <v>0</v>
      </c>
      <c r="K282" s="18" t="str">
        <f aca="false">IF(J282&gt;=5,"Done",IF(H282="","",H282+CHOOSE(J282+1,1,3,7,21,60)))</f>
        <v/>
      </c>
      <c r="L282" s="16"/>
    </row>
    <row r="283" customFormat="false" ht="15" hidden="false" customHeight="false" outlineLevel="0" collapsed="false">
      <c r="A283" s="15" t="n">
        <v>282</v>
      </c>
      <c r="B283" s="15" t="n">
        <v>25</v>
      </c>
      <c r="C283" s="16" t="s">
        <v>141</v>
      </c>
      <c r="D283" s="17" t="s">
        <v>463</v>
      </c>
      <c r="E283" s="15" t="s">
        <v>181</v>
      </c>
      <c r="F283" s="15" t="s">
        <v>56</v>
      </c>
      <c r="G283" s="15" t="s">
        <v>14</v>
      </c>
      <c r="H283" s="18"/>
      <c r="I283" s="15"/>
      <c r="J283" s="15" t="n">
        <v>0</v>
      </c>
      <c r="K283" s="18" t="str">
        <f aca="false">IF(J283&gt;=5,"Done",IF(H283="","",H283+CHOOSE(J283+1,1,3,7,21,60)))</f>
        <v/>
      </c>
      <c r="L283" s="16"/>
    </row>
    <row r="284" customFormat="false" ht="15" hidden="false" customHeight="false" outlineLevel="0" collapsed="false">
      <c r="A284" s="15" t="n">
        <v>283</v>
      </c>
      <c r="B284" s="15" t="n">
        <v>25</v>
      </c>
      <c r="C284" s="16" t="s">
        <v>141</v>
      </c>
      <c r="D284" s="17" t="s">
        <v>464</v>
      </c>
      <c r="E284" s="15" t="s">
        <v>181</v>
      </c>
      <c r="F284" s="15" t="s">
        <v>58</v>
      </c>
      <c r="G284" s="15" t="s">
        <v>14</v>
      </c>
      <c r="H284" s="18"/>
      <c r="I284" s="15"/>
      <c r="J284" s="15" t="n">
        <v>0</v>
      </c>
      <c r="K284" s="18" t="str">
        <f aca="false">IF(J284&gt;=5,"Done",IF(H284="","",H284+CHOOSE(J284+1,1,3,7,21,60)))</f>
        <v/>
      </c>
      <c r="L284" s="16"/>
    </row>
    <row r="285" customFormat="false" ht="15" hidden="false" customHeight="false" outlineLevel="0" collapsed="false">
      <c r="A285" s="15" t="n">
        <v>284</v>
      </c>
      <c r="B285" s="15" t="n">
        <v>25</v>
      </c>
      <c r="C285" s="16" t="s">
        <v>141</v>
      </c>
      <c r="D285" s="17" t="s">
        <v>465</v>
      </c>
      <c r="E285" s="15" t="s">
        <v>181</v>
      </c>
      <c r="F285" s="15" t="s">
        <v>58</v>
      </c>
      <c r="G285" s="15" t="s">
        <v>14</v>
      </c>
      <c r="H285" s="18"/>
      <c r="I285" s="15"/>
      <c r="J285" s="15" t="n">
        <v>0</v>
      </c>
      <c r="K285" s="18" t="str">
        <f aca="false">IF(J285&gt;=5,"Done",IF(H285="","",H285+CHOOSE(J285+1,1,3,7,21,60)))</f>
        <v/>
      </c>
      <c r="L285" s="16"/>
    </row>
    <row r="286" customFormat="false" ht="15" hidden="false" customHeight="false" outlineLevel="0" collapsed="false">
      <c r="A286" s="15" t="n">
        <v>285</v>
      </c>
      <c r="B286" s="15" t="n">
        <v>25</v>
      </c>
      <c r="C286" s="16" t="s">
        <v>141</v>
      </c>
      <c r="D286" s="17" t="s">
        <v>466</v>
      </c>
      <c r="E286" s="15" t="s">
        <v>181</v>
      </c>
      <c r="F286" s="15" t="s">
        <v>58</v>
      </c>
      <c r="G286" s="15" t="s">
        <v>14</v>
      </c>
      <c r="H286" s="18"/>
      <c r="I286" s="15"/>
      <c r="J286" s="15" t="n">
        <v>0</v>
      </c>
      <c r="K286" s="18" t="str">
        <f aca="false">IF(J286&gt;=5,"Done",IF(H286="","",H286+CHOOSE(J286+1,1,3,7,21,60)))</f>
        <v/>
      </c>
      <c r="L286" s="16"/>
    </row>
    <row r="287" customFormat="false" ht="15" hidden="false" customHeight="false" outlineLevel="0" collapsed="false">
      <c r="A287" s="15" t="n">
        <v>286</v>
      </c>
      <c r="B287" s="15" t="n">
        <v>25</v>
      </c>
      <c r="C287" s="16" t="s">
        <v>141</v>
      </c>
      <c r="D287" s="17" t="s">
        <v>467</v>
      </c>
      <c r="E287" s="15" t="s">
        <v>181</v>
      </c>
      <c r="F287" s="15" t="s">
        <v>58</v>
      </c>
      <c r="G287" s="15" t="s">
        <v>14</v>
      </c>
      <c r="H287" s="18"/>
      <c r="I287" s="15"/>
      <c r="J287" s="15" t="n">
        <v>0</v>
      </c>
      <c r="K287" s="18" t="str">
        <f aca="false">IF(J287&gt;=5,"Done",IF(H287="","",H287+CHOOSE(J287+1,1,3,7,21,60)))</f>
        <v/>
      </c>
      <c r="L287" s="16"/>
    </row>
    <row r="288" customFormat="false" ht="15" hidden="false" customHeight="false" outlineLevel="0" collapsed="false">
      <c r="A288" s="15" t="n">
        <v>287</v>
      </c>
      <c r="B288" s="15" t="n">
        <v>25</v>
      </c>
      <c r="C288" s="16" t="s">
        <v>141</v>
      </c>
      <c r="D288" s="17" t="s">
        <v>468</v>
      </c>
      <c r="E288" s="15" t="s">
        <v>185</v>
      </c>
      <c r="F288" s="15" t="s">
        <v>58</v>
      </c>
      <c r="G288" s="15" t="s">
        <v>14</v>
      </c>
      <c r="H288" s="18"/>
      <c r="I288" s="15"/>
      <c r="J288" s="15" t="n">
        <v>0</v>
      </c>
      <c r="K288" s="18" t="str">
        <f aca="false">IF(J288&gt;=5,"Done",IF(H288="","",H288+CHOOSE(J288+1,1,3,7,21,60)))</f>
        <v/>
      </c>
      <c r="L288" s="16"/>
    </row>
    <row r="289" customFormat="false" ht="15" hidden="false" customHeight="false" outlineLevel="0" collapsed="false">
      <c r="A289" s="15" t="n">
        <v>288</v>
      </c>
      <c r="B289" s="15" t="n">
        <v>25</v>
      </c>
      <c r="C289" s="16" t="s">
        <v>141</v>
      </c>
      <c r="D289" s="17" t="s">
        <v>469</v>
      </c>
      <c r="E289" s="15" t="s">
        <v>185</v>
      </c>
      <c r="F289" s="15" t="s">
        <v>58</v>
      </c>
      <c r="G289" s="15" t="s">
        <v>14</v>
      </c>
      <c r="H289" s="18"/>
      <c r="I289" s="15"/>
      <c r="J289" s="15" t="n">
        <v>0</v>
      </c>
      <c r="K289" s="18" t="str">
        <f aca="false">IF(J289&gt;=5,"Done",IF(H289="","",H289+CHOOSE(J289+1,1,3,7,21,60)))</f>
        <v/>
      </c>
      <c r="L289" s="16"/>
    </row>
    <row r="290" customFormat="false" ht="15" hidden="false" customHeight="false" outlineLevel="0" collapsed="false">
      <c r="A290" s="15" t="n">
        <v>289</v>
      </c>
      <c r="B290" s="15" t="n">
        <v>25</v>
      </c>
      <c r="C290" s="16" t="s">
        <v>141</v>
      </c>
      <c r="D290" s="17" t="s">
        <v>470</v>
      </c>
      <c r="E290" s="15" t="s">
        <v>185</v>
      </c>
      <c r="F290" s="15" t="s">
        <v>58</v>
      </c>
      <c r="G290" s="15" t="s">
        <v>14</v>
      </c>
      <c r="H290" s="18"/>
      <c r="I290" s="15"/>
      <c r="J290" s="15" t="n">
        <v>0</v>
      </c>
      <c r="K290" s="18" t="str">
        <f aca="false">IF(J290&gt;=5,"Done",IF(H290="","",H290+CHOOSE(J290+1,1,3,7,21,60)))</f>
        <v/>
      </c>
      <c r="L290" s="16"/>
    </row>
    <row r="291" customFormat="false" ht="15" hidden="false" customHeight="false" outlineLevel="0" collapsed="false">
      <c r="A291" s="15" t="n">
        <v>290</v>
      </c>
      <c r="B291" s="15" t="n">
        <v>25</v>
      </c>
      <c r="C291" s="16" t="s">
        <v>141</v>
      </c>
      <c r="D291" s="17" t="s">
        <v>471</v>
      </c>
      <c r="E291" s="15" t="s">
        <v>185</v>
      </c>
      <c r="F291" s="15" t="s">
        <v>58</v>
      </c>
      <c r="G291" s="15" t="s">
        <v>14</v>
      </c>
      <c r="H291" s="18"/>
      <c r="I291" s="15"/>
      <c r="J291" s="15" t="n">
        <v>0</v>
      </c>
      <c r="K291" s="18" t="str">
        <f aca="false">IF(J291&gt;=5,"Done",IF(H291="","",H291+CHOOSE(J291+1,1,3,7,21,60)))</f>
        <v/>
      </c>
      <c r="L291" s="16"/>
    </row>
    <row r="292" customFormat="false" ht="15" hidden="false" customHeight="false" outlineLevel="0" collapsed="false">
      <c r="A292" s="15" t="n">
        <v>291</v>
      </c>
      <c r="B292" s="15" t="n">
        <v>25</v>
      </c>
      <c r="C292" s="16" t="s">
        <v>141</v>
      </c>
      <c r="D292" s="17" t="s">
        <v>472</v>
      </c>
      <c r="E292" s="15" t="s">
        <v>185</v>
      </c>
      <c r="F292" s="15" t="s">
        <v>56</v>
      </c>
      <c r="G292" s="15" t="s">
        <v>14</v>
      </c>
      <c r="H292" s="18"/>
      <c r="I292" s="15"/>
      <c r="J292" s="15" t="n">
        <v>0</v>
      </c>
      <c r="K292" s="18" t="str">
        <f aca="false">IF(J292&gt;=5,"Done",IF(H292="","",H292+CHOOSE(J292+1,1,3,7,21,60)))</f>
        <v/>
      </c>
      <c r="L292" s="16"/>
    </row>
    <row r="293" customFormat="false" ht="15" hidden="false" customHeight="false" outlineLevel="0" collapsed="false">
      <c r="A293" s="15" t="n">
        <v>292</v>
      </c>
      <c r="B293" s="15" t="n">
        <v>25</v>
      </c>
      <c r="C293" s="16" t="s">
        <v>141</v>
      </c>
      <c r="D293" s="17" t="s">
        <v>473</v>
      </c>
      <c r="E293" s="15" t="s">
        <v>185</v>
      </c>
      <c r="F293" s="15" t="s">
        <v>58</v>
      </c>
      <c r="G293" s="15" t="s">
        <v>14</v>
      </c>
      <c r="H293" s="18"/>
      <c r="I293" s="15"/>
      <c r="J293" s="15" t="n">
        <v>0</v>
      </c>
      <c r="K293" s="18" t="str">
        <f aca="false">IF(J293&gt;=5,"Done",IF(H293="","",H293+CHOOSE(J293+1,1,3,7,21,60)))</f>
        <v/>
      </c>
      <c r="L293" s="16"/>
    </row>
    <row r="294" customFormat="false" ht="15" hidden="false" customHeight="false" outlineLevel="0" collapsed="false">
      <c r="A294" s="15" t="n">
        <v>293</v>
      </c>
      <c r="B294" s="15" t="n">
        <v>25</v>
      </c>
      <c r="C294" s="16" t="s">
        <v>141</v>
      </c>
      <c r="D294" s="17" t="s">
        <v>474</v>
      </c>
      <c r="E294" s="15" t="s">
        <v>181</v>
      </c>
      <c r="F294" s="15" t="s">
        <v>58</v>
      </c>
      <c r="G294" s="15" t="s">
        <v>14</v>
      </c>
      <c r="H294" s="18"/>
      <c r="I294" s="15"/>
      <c r="J294" s="15" t="n">
        <v>0</v>
      </c>
      <c r="K294" s="18" t="str">
        <f aca="false">IF(J294&gt;=5,"Done",IF(H294="","",H294+CHOOSE(J294+1,1,3,7,21,60)))</f>
        <v/>
      </c>
      <c r="L294" s="16"/>
    </row>
    <row r="295" customFormat="false" ht="15" hidden="false" customHeight="false" outlineLevel="0" collapsed="false">
      <c r="A295" s="15" t="n">
        <v>294</v>
      </c>
      <c r="B295" s="15" t="n">
        <v>25</v>
      </c>
      <c r="C295" s="16" t="s">
        <v>141</v>
      </c>
      <c r="D295" s="17" t="s">
        <v>475</v>
      </c>
      <c r="E295" s="15" t="s">
        <v>185</v>
      </c>
      <c r="F295" s="15" t="s">
        <v>56</v>
      </c>
      <c r="G295" s="15" t="s">
        <v>14</v>
      </c>
      <c r="H295" s="18"/>
      <c r="I295" s="15"/>
      <c r="J295" s="15" t="n">
        <v>0</v>
      </c>
      <c r="K295" s="18" t="str">
        <f aca="false">IF(J295&gt;=5,"Done",IF(H295="","",H295+CHOOSE(J295+1,1,3,7,21,60)))</f>
        <v/>
      </c>
      <c r="L295" s="16"/>
    </row>
    <row r="296" customFormat="false" ht="15" hidden="false" customHeight="false" outlineLevel="0" collapsed="false">
      <c r="A296" s="15" t="n">
        <v>295</v>
      </c>
      <c r="B296" s="15" t="n">
        <v>25</v>
      </c>
      <c r="C296" s="16" t="s">
        <v>141</v>
      </c>
      <c r="D296" s="17" t="s">
        <v>476</v>
      </c>
      <c r="E296" s="15" t="s">
        <v>181</v>
      </c>
      <c r="F296" s="15" t="s">
        <v>58</v>
      </c>
      <c r="G296" s="15" t="s">
        <v>14</v>
      </c>
      <c r="H296" s="18"/>
      <c r="I296" s="15"/>
      <c r="J296" s="15" t="n">
        <v>0</v>
      </c>
      <c r="K296" s="18" t="str">
        <f aca="false">IF(J296&gt;=5,"Done",IF(H296="","",H296+CHOOSE(J296+1,1,3,7,21,60)))</f>
        <v/>
      </c>
      <c r="L296" s="16"/>
    </row>
    <row r="297" customFormat="false" ht="15" hidden="false" customHeight="false" outlineLevel="0" collapsed="false">
      <c r="A297" s="15" t="n">
        <v>296</v>
      </c>
      <c r="B297" s="15" t="n">
        <v>26</v>
      </c>
      <c r="C297" s="16" t="s">
        <v>143</v>
      </c>
      <c r="D297" s="17" t="s">
        <v>477</v>
      </c>
      <c r="E297" s="15" t="s">
        <v>198</v>
      </c>
      <c r="F297" s="15" t="s">
        <v>58</v>
      </c>
      <c r="G297" s="15" t="s">
        <v>14</v>
      </c>
      <c r="H297" s="18"/>
      <c r="I297" s="15"/>
      <c r="J297" s="15" t="n">
        <v>0</v>
      </c>
      <c r="K297" s="18" t="str">
        <f aca="false">IF(J297&gt;=5,"Done",IF(H297="","",H297+CHOOSE(J297+1,1,3,7,21,60)))</f>
        <v/>
      </c>
      <c r="L297" s="16"/>
    </row>
    <row r="298" customFormat="false" ht="15" hidden="false" customHeight="false" outlineLevel="0" collapsed="false">
      <c r="A298" s="15" t="n">
        <v>297</v>
      </c>
      <c r="B298" s="15" t="n">
        <v>26</v>
      </c>
      <c r="C298" s="16" t="s">
        <v>143</v>
      </c>
      <c r="D298" s="17" t="s">
        <v>478</v>
      </c>
      <c r="E298" s="15" t="s">
        <v>198</v>
      </c>
      <c r="F298" s="15" t="s">
        <v>58</v>
      </c>
      <c r="G298" s="15" t="s">
        <v>14</v>
      </c>
      <c r="H298" s="18"/>
      <c r="I298" s="15"/>
      <c r="J298" s="15" t="n">
        <v>0</v>
      </c>
      <c r="K298" s="18" t="str">
        <f aca="false">IF(J298&gt;=5,"Done",IF(H298="","",H298+CHOOSE(J298+1,1,3,7,21,60)))</f>
        <v/>
      </c>
      <c r="L298" s="16"/>
    </row>
    <row r="299" customFormat="false" ht="15" hidden="false" customHeight="false" outlineLevel="0" collapsed="false">
      <c r="A299" s="15" t="n">
        <v>298</v>
      </c>
      <c r="B299" s="15" t="n">
        <v>26</v>
      </c>
      <c r="C299" s="16" t="s">
        <v>143</v>
      </c>
      <c r="D299" s="17" t="s">
        <v>479</v>
      </c>
      <c r="E299" s="15" t="s">
        <v>185</v>
      </c>
      <c r="F299" s="15" t="s">
        <v>58</v>
      </c>
      <c r="G299" s="15" t="s">
        <v>14</v>
      </c>
      <c r="H299" s="18"/>
      <c r="I299" s="15"/>
      <c r="J299" s="15" t="n">
        <v>0</v>
      </c>
      <c r="K299" s="18" t="str">
        <f aca="false">IF(J299&gt;=5,"Done",IF(H299="","",H299+CHOOSE(J299+1,1,3,7,21,60)))</f>
        <v/>
      </c>
      <c r="L299" s="16"/>
    </row>
    <row r="300" customFormat="false" ht="15" hidden="false" customHeight="false" outlineLevel="0" collapsed="false">
      <c r="A300" s="15" t="n">
        <v>299</v>
      </c>
      <c r="B300" s="15" t="n">
        <v>26</v>
      </c>
      <c r="C300" s="16" t="s">
        <v>143</v>
      </c>
      <c r="D300" s="17" t="s">
        <v>480</v>
      </c>
      <c r="E300" s="15" t="s">
        <v>185</v>
      </c>
      <c r="F300" s="15" t="s">
        <v>56</v>
      </c>
      <c r="G300" s="15" t="s">
        <v>14</v>
      </c>
      <c r="H300" s="18"/>
      <c r="I300" s="15"/>
      <c r="J300" s="15" t="n">
        <v>0</v>
      </c>
      <c r="K300" s="18" t="str">
        <f aca="false">IF(J300&gt;=5,"Done",IF(H300="","",H300+CHOOSE(J300+1,1,3,7,21,60)))</f>
        <v/>
      </c>
      <c r="L300" s="16"/>
    </row>
    <row r="301" customFormat="false" ht="15" hidden="false" customHeight="false" outlineLevel="0" collapsed="false">
      <c r="A301" s="15" t="n">
        <v>300</v>
      </c>
      <c r="B301" s="15" t="n">
        <v>26</v>
      </c>
      <c r="C301" s="16" t="s">
        <v>143</v>
      </c>
      <c r="D301" s="17" t="s">
        <v>481</v>
      </c>
      <c r="E301" s="15" t="s">
        <v>198</v>
      </c>
      <c r="F301" s="15" t="s">
        <v>58</v>
      </c>
      <c r="G301" s="15" t="s">
        <v>14</v>
      </c>
      <c r="H301" s="18"/>
      <c r="I301" s="15"/>
      <c r="J301" s="15" t="n">
        <v>0</v>
      </c>
      <c r="K301" s="18" t="str">
        <f aca="false">IF(J301&gt;=5,"Done",IF(H301="","",H301+CHOOSE(J301+1,1,3,7,21,60)))</f>
        <v/>
      </c>
      <c r="L301" s="16"/>
    </row>
    <row r="302" customFormat="false" ht="15" hidden="false" customHeight="false" outlineLevel="0" collapsed="false">
      <c r="A302" s="15" t="n">
        <v>301</v>
      </c>
      <c r="B302" s="15" t="n">
        <v>26</v>
      </c>
      <c r="C302" s="16" t="s">
        <v>143</v>
      </c>
      <c r="D302" s="17" t="s">
        <v>482</v>
      </c>
      <c r="E302" s="15" t="s">
        <v>185</v>
      </c>
      <c r="F302" s="15" t="s">
        <v>58</v>
      </c>
      <c r="G302" s="15" t="s">
        <v>14</v>
      </c>
      <c r="H302" s="18"/>
      <c r="I302" s="15"/>
      <c r="J302" s="15" t="n">
        <v>0</v>
      </c>
      <c r="K302" s="18" t="str">
        <f aca="false">IF(J302&gt;=5,"Done",IF(H302="","",H302+CHOOSE(J302+1,1,3,7,21,60)))</f>
        <v/>
      </c>
      <c r="L302" s="16"/>
    </row>
    <row r="303" customFormat="false" ht="15" hidden="false" customHeight="false" outlineLevel="0" collapsed="false">
      <c r="A303" s="15" t="n">
        <v>302</v>
      </c>
      <c r="B303" s="15" t="n">
        <v>26</v>
      </c>
      <c r="C303" s="16" t="s">
        <v>143</v>
      </c>
      <c r="D303" s="17" t="s">
        <v>483</v>
      </c>
      <c r="E303" s="15" t="s">
        <v>185</v>
      </c>
      <c r="F303" s="15" t="s">
        <v>58</v>
      </c>
      <c r="G303" s="15" t="s">
        <v>14</v>
      </c>
      <c r="H303" s="18"/>
      <c r="I303" s="15"/>
      <c r="J303" s="15" t="n">
        <v>0</v>
      </c>
      <c r="K303" s="18" t="str">
        <f aca="false">IF(J303&gt;=5,"Done",IF(H303="","",H303+CHOOSE(J303+1,1,3,7,21,60)))</f>
        <v/>
      </c>
      <c r="L303" s="16"/>
    </row>
    <row r="304" customFormat="false" ht="15" hidden="false" customHeight="false" outlineLevel="0" collapsed="false">
      <c r="A304" s="15" t="n">
        <v>303</v>
      </c>
      <c r="B304" s="15" t="n">
        <v>26</v>
      </c>
      <c r="C304" s="16" t="s">
        <v>143</v>
      </c>
      <c r="D304" s="17" t="s">
        <v>484</v>
      </c>
      <c r="E304" s="15" t="s">
        <v>185</v>
      </c>
      <c r="F304" s="15" t="s">
        <v>58</v>
      </c>
      <c r="G304" s="15" t="s">
        <v>14</v>
      </c>
      <c r="H304" s="18"/>
      <c r="I304" s="15"/>
      <c r="J304" s="15" t="n">
        <v>0</v>
      </c>
      <c r="K304" s="18" t="str">
        <f aca="false">IF(J304&gt;=5,"Done",IF(H304="","",H304+CHOOSE(J304+1,1,3,7,21,60)))</f>
        <v/>
      </c>
      <c r="L304" s="16"/>
    </row>
    <row r="305" customFormat="false" ht="15" hidden="false" customHeight="false" outlineLevel="0" collapsed="false">
      <c r="A305" s="15" t="n">
        <v>304</v>
      </c>
      <c r="B305" s="15" t="n">
        <v>26</v>
      </c>
      <c r="C305" s="16" t="s">
        <v>143</v>
      </c>
      <c r="D305" s="17" t="s">
        <v>485</v>
      </c>
      <c r="E305" s="15" t="s">
        <v>185</v>
      </c>
      <c r="F305" s="15" t="s">
        <v>58</v>
      </c>
      <c r="G305" s="15" t="s">
        <v>14</v>
      </c>
      <c r="H305" s="18"/>
      <c r="I305" s="15"/>
      <c r="J305" s="15" t="n">
        <v>0</v>
      </c>
      <c r="K305" s="18" t="str">
        <f aca="false">IF(J305&gt;=5,"Done",IF(H305="","",H305+CHOOSE(J305+1,1,3,7,21,60)))</f>
        <v/>
      </c>
      <c r="L305" s="16"/>
    </row>
    <row r="306" customFormat="false" ht="15" hidden="false" customHeight="false" outlineLevel="0" collapsed="false">
      <c r="A306" s="15" t="n">
        <v>305</v>
      </c>
      <c r="B306" s="15" t="n">
        <v>27</v>
      </c>
      <c r="C306" s="16" t="s">
        <v>145</v>
      </c>
      <c r="D306" s="17" t="s">
        <v>486</v>
      </c>
      <c r="E306" s="15" t="s">
        <v>181</v>
      </c>
      <c r="F306" s="15" t="s">
        <v>58</v>
      </c>
      <c r="G306" s="15" t="s">
        <v>14</v>
      </c>
      <c r="H306" s="18"/>
      <c r="I306" s="15"/>
      <c r="J306" s="15" t="n">
        <v>0</v>
      </c>
      <c r="K306" s="18" t="str">
        <f aca="false">IF(J306&gt;=5,"Done",IF(H306="","",H306+CHOOSE(J306+1,1,3,7,21,60)))</f>
        <v/>
      </c>
      <c r="L306" s="16"/>
    </row>
    <row r="307" customFormat="false" ht="15" hidden="false" customHeight="false" outlineLevel="0" collapsed="false">
      <c r="A307" s="15" t="n">
        <v>306</v>
      </c>
      <c r="B307" s="15" t="n">
        <v>27</v>
      </c>
      <c r="C307" s="16" t="s">
        <v>145</v>
      </c>
      <c r="D307" s="17" t="s">
        <v>487</v>
      </c>
      <c r="E307" s="15" t="s">
        <v>181</v>
      </c>
      <c r="F307" s="15" t="s">
        <v>58</v>
      </c>
      <c r="G307" s="15" t="s">
        <v>14</v>
      </c>
      <c r="H307" s="18"/>
      <c r="I307" s="15"/>
      <c r="J307" s="15" t="n">
        <v>0</v>
      </c>
      <c r="K307" s="18" t="str">
        <f aca="false">IF(J307&gt;=5,"Done",IF(H307="","",H307+CHOOSE(J307+1,1,3,7,21,60)))</f>
        <v/>
      </c>
      <c r="L307" s="16"/>
    </row>
    <row r="308" customFormat="false" ht="15" hidden="false" customHeight="false" outlineLevel="0" collapsed="false">
      <c r="A308" s="15" t="n">
        <v>307</v>
      </c>
      <c r="B308" s="15" t="n">
        <v>27</v>
      </c>
      <c r="C308" s="16" t="s">
        <v>145</v>
      </c>
      <c r="D308" s="17" t="s">
        <v>488</v>
      </c>
      <c r="E308" s="15" t="s">
        <v>198</v>
      </c>
      <c r="F308" s="15" t="s">
        <v>58</v>
      </c>
      <c r="G308" s="15" t="s">
        <v>14</v>
      </c>
      <c r="H308" s="18"/>
      <c r="I308" s="15"/>
      <c r="J308" s="15" t="n">
        <v>0</v>
      </c>
      <c r="K308" s="18" t="str">
        <f aca="false">IF(J308&gt;=5,"Done",IF(H308="","",H308+CHOOSE(J308+1,1,3,7,21,60)))</f>
        <v/>
      </c>
      <c r="L308" s="16"/>
    </row>
    <row r="309" customFormat="false" ht="15" hidden="false" customHeight="false" outlineLevel="0" collapsed="false">
      <c r="A309" s="15" t="n">
        <v>308</v>
      </c>
      <c r="B309" s="15" t="n">
        <v>27</v>
      </c>
      <c r="C309" s="16" t="s">
        <v>145</v>
      </c>
      <c r="D309" s="17" t="s">
        <v>489</v>
      </c>
      <c r="E309" s="15" t="s">
        <v>198</v>
      </c>
      <c r="F309" s="15" t="s">
        <v>58</v>
      </c>
      <c r="G309" s="15" t="s">
        <v>14</v>
      </c>
      <c r="H309" s="18"/>
      <c r="I309" s="15"/>
      <c r="J309" s="15" t="n">
        <v>0</v>
      </c>
      <c r="K309" s="18" t="str">
        <f aca="false">IF(J309&gt;=5,"Done",IF(H309="","",H309+CHOOSE(J309+1,1,3,7,21,60)))</f>
        <v/>
      </c>
      <c r="L309" s="16"/>
    </row>
    <row r="310" customFormat="false" ht="15" hidden="false" customHeight="false" outlineLevel="0" collapsed="false">
      <c r="A310" s="15" t="n">
        <v>309</v>
      </c>
      <c r="B310" s="15" t="n">
        <v>27</v>
      </c>
      <c r="C310" s="16" t="s">
        <v>145</v>
      </c>
      <c r="D310" s="17" t="s">
        <v>490</v>
      </c>
      <c r="E310" s="15" t="s">
        <v>198</v>
      </c>
      <c r="F310" s="15" t="s">
        <v>58</v>
      </c>
      <c r="G310" s="15" t="s">
        <v>14</v>
      </c>
      <c r="H310" s="18"/>
      <c r="I310" s="15"/>
      <c r="J310" s="15" t="n">
        <v>0</v>
      </c>
      <c r="K310" s="18" t="str">
        <f aca="false">IF(J310&gt;=5,"Done",IF(H310="","",H310+CHOOSE(J310+1,1,3,7,21,60)))</f>
        <v/>
      </c>
      <c r="L310" s="16"/>
    </row>
    <row r="311" customFormat="false" ht="15" hidden="false" customHeight="false" outlineLevel="0" collapsed="false">
      <c r="A311" s="15" t="n">
        <v>310</v>
      </c>
      <c r="B311" s="15" t="n">
        <v>27</v>
      </c>
      <c r="C311" s="16" t="s">
        <v>145</v>
      </c>
      <c r="D311" s="17" t="s">
        <v>491</v>
      </c>
      <c r="E311" s="15" t="s">
        <v>198</v>
      </c>
      <c r="F311" s="15" t="s">
        <v>58</v>
      </c>
      <c r="G311" s="15" t="s">
        <v>14</v>
      </c>
      <c r="H311" s="18"/>
      <c r="I311" s="15"/>
      <c r="J311" s="15" t="n">
        <v>0</v>
      </c>
      <c r="K311" s="18" t="str">
        <f aca="false">IF(J311&gt;=5,"Done",IF(H311="","",H311+CHOOSE(J311+1,1,3,7,21,60)))</f>
        <v/>
      </c>
      <c r="L311" s="16"/>
    </row>
    <row r="312" customFormat="false" ht="15" hidden="false" customHeight="false" outlineLevel="0" collapsed="false">
      <c r="A312" s="15" t="n">
        <v>311</v>
      </c>
      <c r="B312" s="15" t="n">
        <v>27</v>
      </c>
      <c r="C312" s="16" t="s">
        <v>145</v>
      </c>
      <c r="D312" s="17" t="s">
        <v>492</v>
      </c>
      <c r="E312" s="15" t="s">
        <v>181</v>
      </c>
      <c r="F312" s="15" t="s">
        <v>58</v>
      </c>
      <c r="G312" s="15" t="s">
        <v>14</v>
      </c>
      <c r="H312" s="18"/>
      <c r="I312" s="15"/>
      <c r="J312" s="15" t="n">
        <v>0</v>
      </c>
      <c r="K312" s="18" t="str">
        <f aca="false">IF(J312&gt;=5,"Done",IF(H312="","",H312+CHOOSE(J312+1,1,3,7,21,60)))</f>
        <v/>
      </c>
      <c r="L312" s="16"/>
    </row>
    <row r="313" customFormat="false" ht="15" hidden="false" customHeight="false" outlineLevel="0" collapsed="false">
      <c r="A313" s="15" t="n">
        <v>312</v>
      </c>
      <c r="B313" s="15" t="n">
        <v>27</v>
      </c>
      <c r="C313" s="16" t="s">
        <v>145</v>
      </c>
      <c r="D313" s="17" t="s">
        <v>493</v>
      </c>
      <c r="E313" s="15" t="s">
        <v>185</v>
      </c>
      <c r="F313" s="15" t="s">
        <v>58</v>
      </c>
      <c r="G313" s="15" t="s">
        <v>14</v>
      </c>
      <c r="H313" s="18"/>
      <c r="I313" s="15"/>
      <c r="J313" s="15" t="n">
        <v>0</v>
      </c>
      <c r="K313" s="18" t="str">
        <f aca="false">IF(J313&gt;=5,"Done",IF(H313="","",H313+CHOOSE(J313+1,1,3,7,21,60)))</f>
        <v/>
      </c>
      <c r="L313" s="16"/>
    </row>
    <row r="314" customFormat="false" ht="15" hidden="false" customHeight="false" outlineLevel="0" collapsed="false">
      <c r="A314" s="15" t="n">
        <v>313</v>
      </c>
      <c r="B314" s="15" t="n">
        <v>27</v>
      </c>
      <c r="C314" s="16" t="s">
        <v>145</v>
      </c>
      <c r="D314" s="17" t="s">
        <v>494</v>
      </c>
      <c r="E314" s="15" t="s">
        <v>185</v>
      </c>
      <c r="F314" s="15" t="s">
        <v>58</v>
      </c>
      <c r="G314" s="15" t="s">
        <v>14</v>
      </c>
      <c r="H314" s="18"/>
      <c r="I314" s="15"/>
      <c r="J314" s="15" t="n">
        <v>0</v>
      </c>
      <c r="K314" s="18" t="str">
        <f aca="false">IF(J314&gt;=5,"Done",IF(H314="","",H314+CHOOSE(J314+1,1,3,7,21,60)))</f>
        <v/>
      </c>
      <c r="L314" s="16"/>
    </row>
    <row r="315" customFormat="false" ht="15" hidden="false" customHeight="false" outlineLevel="0" collapsed="false">
      <c r="A315" s="15" t="n">
        <v>314</v>
      </c>
      <c r="B315" s="15" t="n">
        <v>27</v>
      </c>
      <c r="C315" s="16" t="s">
        <v>145</v>
      </c>
      <c r="D315" s="17" t="s">
        <v>495</v>
      </c>
      <c r="E315" s="15" t="s">
        <v>185</v>
      </c>
      <c r="F315" s="15" t="s">
        <v>58</v>
      </c>
      <c r="G315" s="15" t="s">
        <v>14</v>
      </c>
      <c r="H315" s="18"/>
      <c r="I315" s="15"/>
      <c r="J315" s="15" t="n">
        <v>0</v>
      </c>
      <c r="K315" s="18" t="str">
        <f aca="false">IF(J315&gt;=5,"Done",IF(H315="","",H315+CHOOSE(J315+1,1,3,7,21,60)))</f>
        <v/>
      </c>
      <c r="L315" s="16"/>
    </row>
    <row r="316" customFormat="false" ht="15" hidden="false" customHeight="false" outlineLevel="0" collapsed="false">
      <c r="A316" s="15" t="n">
        <v>315</v>
      </c>
      <c r="B316" s="15" t="n">
        <v>27</v>
      </c>
      <c r="C316" s="16" t="s">
        <v>145</v>
      </c>
      <c r="D316" s="17" t="s">
        <v>496</v>
      </c>
      <c r="E316" s="15" t="s">
        <v>185</v>
      </c>
      <c r="F316" s="15" t="s">
        <v>58</v>
      </c>
      <c r="G316" s="15" t="s">
        <v>14</v>
      </c>
      <c r="H316" s="18"/>
      <c r="I316" s="15"/>
      <c r="J316" s="15" t="n">
        <v>0</v>
      </c>
      <c r="K316" s="18" t="str">
        <f aca="false">IF(J316&gt;=5,"Done",IF(H316="","",H316+CHOOSE(J316+1,1,3,7,21,60)))</f>
        <v/>
      </c>
      <c r="L316" s="16"/>
    </row>
    <row r="317" customFormat="false" ht="15" hidden="false" customHeight="false" outlineLevel="0" collapsed="false">
      <c r="A317" s="15" t="n">
        <v>316</v>
      </c>
      <c r="B317" s="15" t="n">
        <v>27</v>
      </c>
      <c r="C317" s="16" t="s">
        <v>145</v>
      </c>
      <c r="D317" s="17" t="s">
        <v>497</v>
      </c>
      <c r="E317" s="15" t="s">
        <v>185</v>
      </c>
      <c r="F317" s="15" t="s">
        <v>58</v>
      </c>
      <c r="G317" s="15" t="s">
        <v>14</v>
      </c>
      <c r="H317" s="18"/>
      <c r="I317" s="15"/>
      <c r="J317" s="15" t="n">
        <v>0</v>
      </c>
      <c r="K317" s="18" t="str">
        <f aca="false">IF(J317&gt;=5,"Done",IF(H317="","",H317+CHOOSE(J317+1,1,3,7,21,60)))</f>
        <v/>
      </c>
      <c r="L317" s="16"/>
    </row>
    <row r="318" customFormat="false" ht="15" hidden="false" customHeight="false" outlineLevel="0" collapsed="false">
      <c r="A318" s="15" t="n">
        <v>317</v>
      </c>
      <c r="B318" s="15" t="n">
        <v>27</v>
      </c>
      <c r="C318" s="16" t="s">
        <v>145</v>
      </c>
      <c r="D318" s="17" t="s">
        <v>498</v>
      </c>
      <c r="E318" s="15" t="s">
        <v>198</v>
      </c>
      <c r="F318" s="15" t="s">
        <v>56</v>
      </c>
      <c r="G318" s="15" t="s">
        <v>14</v>
      </c>
      <c r="H318" s="18"/>
      <c r="I318" s="15"/>
      <c r="J318" s="15" t="n">
        <v>0</v>
      </c>
      <c r="K318" s="18" t="str">
        <f aca="false">IF(J318&gt;=5,"Done",IF(H318="","",H318+CHOOSE(J318+1,1,3,7,21,60)))</f>
        <v/>
      </c>
      <c r="L318" s="16"/>
    </row>
    <row r="319" customFormat="false" ht="15" hidden="false" customHeight="false" outlineLevel="0" collapsed="false">
      <c r="A319" s="15" t="n">
        <v>318</v>
      </c>
      <c r="B319" s="15" t="n">
        <v>27</v>
      </c>
      <c r="C319" s="16" t="s">
        <v>145</v>
      </c>
      <c r="D319" s="17" t="s">
        <v>499</v>
      </c>
      <c r="E319" s="15" t="s">
        <v>185</v>
      </c>
      <c r="F319" s="15" t="s">
        <v>58</v>
      </c>
      <c r="G319" s="15" t="s">
        <v>14</v>
      </c>
      <c r="H319" s="18"/>
      <c r="I319" s="15"/>
      <c r="J319" s="15" t="n">
        <v>0</v>
      </c>
      <c r="K319" s="18" t="str">
        <f aca="false">IF(J319&gt;=5,"Done",IF(H319="","",H319+CHOOSE(J319+1,1,3,7,21,60)))</f>
        <v/>
      </c>
      <c r="L319" s="16"/>
    </row>
    <row r="320" customFormat="false" ht="15" hidden="false" customHeight="false" outlineLevel="0" collapsed="false">
      <c r="A320" s="15" t="n">
        <v>319</v>
      </c>
      <c r="B320" s="15" t="n">
        <v>28</v>
      </c>
      <c r="C320" s="16" t="s">
        <v>147</v>
      </c>
      <c r="D320" s="17" t="s">
        <v>500</v>
      </c>
      <c r="E320" s="15" t="s">
        <v>185</v>
      </c>
      <c r="F320" s="15" t="s">
        <v>58</v>
      </c>
      <c r="G320" s="15" t="s">
        <v>14</v>
      </c>
      <c r="H320" s="18"/>
      <c r="I320" s="15"/>
      <c r="J320" s="15" t="n">
        <v>0</v>
      </c>
      <c r="K320" s="18" t="str">
        <f aca="false">IF(J320&gt;=5,"Done",IF(H320="","",H320+CHOOSE(J320+1,1,3,7,21,60)))</f>
        <v/>
      </c>
      <c r="L320" s="16"/>
    </row>
    <row r="321" customFormat="false" ht="15" hidden="false" customHeight="false" outlineLevel="0" collapsed="false">
      <c r="A321" s="15" t="n">
        <v>320</v>
      </c>
      <c r="B321" s="15" t="n">
        <v>28</v>
      </c>
      <c r="C321" s="16" t="s">
        <v>147</v>
      </c>
      <c r="D321" s="17" t="s">
        <v>501</v>
      </c>
      <c r="E321" s="15" t="s">
        <v>185</v>
      </c>
      <c r="F321" s="15" t="s">
        <v>58</v>
      </c>
      <c r="G321" s="15" t="s">
        <v>14</v>
      </c>
      <c r="H321" s="18"/>
      <c r="I321" s="15"/>
      <c r="J321" s="15" t="n">
        <v>0</v>
      </c>
      <c r="K321" s="18" t="str">
        <f aca="false">IF(J321&gt;=5,"Done",IF(H321="","",H321+CHOOSE(J321+1,1,3,7,21,60)))</f>
        <v/>
      </c>
      <c r="L321" s="16"/>
    </row>
    <row r="322" customFormat="false" ht="15" hidden="false" customHeight="false" outlineLevel="0" collapsed="false">
      <c r="A322" s="15" t="n">
        <v>321</v>
      </c>
      <c r="B322" s="15" t="n">
        <v>28</v>
      </c>
      <c r="C322" s="16" t="s">
        <v>147</v>
      </c>
      <c r="D322" s="17" t="s">
        <v>502</v>
      </c>
      <c r="E322" s="15" t="s">
        <v>198</v>
      </c>
      <c r="F322" s="15" t="s">
        <v>56</v>
      </c>
      <c r="G322" s="15" t="s">
        <v>14</v>
      </c>
      <c r="H322" s="18"/>
      <c r="I322" s="15"/>
      <c r="J322" s="15" t="n">
        <v>0</v>
      </c>
      <c r="K322" s="18" t="str">
        <f aca="false">IF(J322&gt;=5,"Done",IF(H322="","",H322+CHOOSE(J322+1,1,3,7,21,60)))</f>
        <v/>
      </c>
      <c r="L322" s="16"/>
    </row>
    <row r="323" customFormat="false" ht="15" hidden="false" customHeight="false" outlineLevel="0" collapsed="false">
      <c r="A323" s="15" t="n">
        <v>322</v>
      </c>
      <c r="B323" s="15" t="n">
        <v>28</v>
      </c>
      <c r="C323" s="16" t="s">
        <v>147</v>
      </c>
      <c r="D323" s="17" t="s">
        <v>503</v>
      </c>
      <c r="E323" s="15" t="s">
        <v>198</v>
      </c>
      <c r="F323" s="15" t="s">
        <v>58</v>
      </c>
      <c r="G323" s="15" t="s">
        <v>14</v>
      </c>
      <c r="H323" s="18"/>
      <c r="I323" s="15"/>
      <c r="J323" s="15" t="n">
        <v>0</v>
      </c>
      <c r="K323" s="18" t="str">
        <f aca="false">IF(J323&gt;=5,"Done",IF(H323="","",H323+CHOOSE(J323+1,1,3,7,21,60)))</f>
        <v/>
      </c>
      <c r="L323" s="16"/>
    </row>
    <row r="324" customFormat="false" ht="15" hidden="false" customHeight="false" outlineLevel="0" collapsed="false">
      <c r="A324" s="15" t="n">
        <v>323</v>
      </c>
      <c r="B324" s="15" t="n">
        <v>28</v>
      </c>
      <c r="C324" s="16" t="s">
        <v>147</v>
      </c>
      <c r="D324" s="17" t="s">
        <v>504</v>
      </c>
      <c r="E324" s="15" t="s">
        <v>185</v>
      </c>
      <c r="F324" s="15" t="s">
        <v>58</v>
      </c>
      <c r="G324" s="15" t="s">
        <v>14</v>
      </c>
      <c r="H324" s="18"/>
      <c r="I324" s="15"/>
      <c r="J324" s="15" t="n">
        <v>0</v>
      </c>
      <c r="K324" s="18" t="str">
        <f aca="false">IF(J324&gt;=5,"Done",IF(H324="","",H324+CHOOSE(J324+1,1,3,7,21,60)))</f>
        <v/>
      </c>
      <c r="L324" s="16"/>
    </row>
    <row r="325" customFormat="false" ht="15" hidden="false" customHeight="false" outlineLevel="0" collapsed="false">
      <c r="A325" s="15" t="n">
        <v>324</v>
      </c>
      <c r="B325" s="15" t="n">
        <v>28</v>
      </c>
      <c r="C325" s="16" t="s">
        <v>147</v>
      </c>
      <c r="D325" s="17" t="s">
        <v>505</v>
      </c>
      <c r="E325" s="15" t="s">
        <v>198</v>
      </c>
      <c r="F325" s="15" t="s">
        <v>58</v>
      </c>
      <c r="G325" s="15" t="s">
        <v>14</v>
      </c>
      <c r="H325" s="18"/>
      <c r="I325" s="15"/>
      <c r="J325" s="15" t="n">
        <v>0</v>
      </c>
      <c r="K325" s="18" t="str">
        <f aca="false">IF(J325&gt;=5,"Done",IF(H325="","",H325+CHOOSE(J325+1,1,3,7,21,60)))</f>
        <v/>
      </c>
      <c r="L325" s="16"/>
    </row>
    <row r="326" customFormat="false" ht="15" hidden="false" customHeight="false" outlineLevel="0" collapsed="false">
      <c r="A326" s="15" t="n">
        <v>325</v>
      </c>
      <c r="B326" s="15" t="n">
        <v>28</v>
      </c>
      <c r="C326" s="16" t="s">
        <v>147</v>
      </c>
      <c r="D326" s="17" t="s">
        <v>506</v>
      </c>
      <c r="E326" s="15" t="s">
        <v>198</v>
      </c>
      <c r="F326" s="15" t="s">
        <v>58</v>
      </c>
      <c r="G326" s="15" t="s">
        <v>14</v>
      </c>
      <c r="H326" s="18"/>
      <c r="I326" s="15"/>
      <c r="J326" s="15" t="n">
        <v>0</v>
      </c>
      <c r="K326" s="18" t="str">
        <f aca="false">IF(J326&gt;=5,"Done",IF(H326="","",H326+CHOOSE(J326+1,1,3,7,21,60)))</f>
        <v/>
      </c>
      <c r="L326" s="16"/>
    </row>
    <row r="327" customFormat="false" ht="15" hidden="false" customHeight="false" outlineLevel="0" collapsed="false">
      <c r="A327" s="15" t="n">
        <v>326</v>
      </c>
      <c r="B327" s="15" t="n">
        <v>28</v>
      </c>
      <c r="C327" s="16" t="s">
        <v>147</v>
      </c>
      <c r="D327" s="17" t="s">
        <v>507</v>
      </c>
      <c r="E327" s="15" t="s">
        <v>198</v>
      </c>
      <c r="F327" s="15" t="s">
        <v>56</v>
      </c>
      <c r="G327" s="15" t="s">
        <v>14</v>
      </c>
      <c r="H327" s="18"/>
      <c r="I327" s="15"/>
      <c r="J327" s="15" t="n">
        <v>0</v>
      </c>
      <c r="K327" s="18" t="str">
        <f aca="false">IF(J327&gt;=5,"Done",IF(H327="","",H327+CHOOSE(J327+1,1,3,7,21,60)))</f>
        <v/>
      </c>
      <c r="L327" s="16"/>
    </row>
    <row r="328" customFormat="false" ht="15" hidden="false" customHeight="false" outlineLevel="0" collapsed="false">
      <c r="A328" s="15" t="n">
        <v>327</v>
      </c>
      <c r="B328" s="15" t="n">
        <v>28</v>
      </c>
      <c r="C328" s="16" t="s">
        <v>147</v>
      </c>
      <c r="D328" s="17" t="s">
        <v>508</v>
      </c>
      <c r="E328" s="15" t="s">
        <v>198</v>
      </c>
      <c r="F328" s="15" t="s">
        <v>58</v>
      </c>
      <c r="G328" s="15" t="s">
        <v>14</v>
      </c>
      <c r="H328" s="18"/>
      <c r="I328" s="15"/>
      <c r="J328" s="15" t="n">
        <v>0</v>
      </c>
      <c r="K328" s="18" t="str">
        <f aca="false">IF(J328&gt;=5,"Done",IF(H328="","",H328+CHOOSE(J328+1,1,3,7,21,60)))</f>
        <v/>
      </c>
      <c r="L328" s="16"/>
    </row>
    <row r="329" customFormat="false" ht="15" hidden="false" customHeight="false" outlineLevel="0" collapsed="false">
      <c r="A329" s="15" t="n">
        <v>328</v>
      </c>
      <c r="B329" s="15" t="n">
        <v>29</v>
      </c>
      <c r="C329" s="16" t="s">
        <v>149</v>
      </c>
      <c r="D329" s="17" t="s">
        <v>509</v>
      </c>
      <c r="E329" s="15" t="s">
        <v>198</v>
      </c>
      <c r="F329" s="15" t="s">
        <v>56</v>
      </c>
      <c r="G329" s="15" t="s">
        <v>14</v>
      </c>
      <c r="H329" s="18"/>
      <c r="I329" s="15"/>
      <c r="J329" s="15" t="n">
        <v>0</v>
      </c>
      <c r="K329" s="18" t="str">
        <f aca="false">IF(J329&gt;=5,"Done",IF(H329="","",H329+CHOOSE(J329+1,1,3,7,21,60)))</f>
        <v/>
      </c>
      <c r="L329" s="16"/>
    </row>
    <row r="330" customFormat="false" ht="15" hidden="false" customHeight="false" outlineLevel="0" collapsed="false">
      <c r="A330" s="15" t="n">
        <v>329</v>
      </c>
      <c r="B330" s="15" t="n">
        <v>29</v>
      </c>
      <c r="C330" s="16" t="s">
        <v>149</v>
      </c>
      <c r="D330" s="17" t="s">
        <v>510</v>
      </c>
      <c r="E330" s="15" t="s">
        <v>181</v>
      </c>
      <c r="F330" s="15" t="s">
        <v>58</v>
      </c>
      <c r="G330" s="15" t="s">
        <v>14</v>
      </c>
      <c r="H330" s="18"/>
      <c r="I330" s="15"/>
      <c r="J330" s="15" t="n">
        <v>0</v>
      </c>
      <c r="K330" s="18" t="str">
        <f aca="false">IF(J330&gt;=5,"Done",IF(H330="","",H330+CHOOSE(J330+1,1,3,7,21,60)))</f>
        <v/>
      </c>
      <c r="L330" s="16"/>
    </row>
    <row r="331" customFormat="false" ht="15" hidden="false" customHeight="false" outlineLevel="0" collapsed="false">
      <c r="A331" s="15" t="n">
        <v>330</v>
      </c>
      <c r="B331" s="15" t="n">
        <v>29</v>
      </c>
      <c r="C331" s="16" t="s">
        <v>149</v>
      </c>
      <c r="D331" s="17" t="s">
        <v>511</v>
      </c>
      <c r="E331" s="15" t="s">
        <v>185</v>
      </c>
      <c r="F331" s="15" t="s">
        <v>56</v>
      </c>
      <c r="G331" s="15" t="s">
        <v>14</v>
      </c>
      <c r="H331" s="18"/>
      <c r="I331" s="15"/>
      <c r="J331" s="15" t="n">
        <v>0</v>
      </c>
      <c r="K331" s="18" t="str">
        <f aca="false">IF(J331&gt;=5,"Done",IF(H331="","",H331+CHOOSE(J331+1,1,3,7,21,60)))</f>
        <v/>
      </c>
      <c r="L331" s="16"/>
    </row>
    <row r="332" customFormat="false" ht="15" hidden="false" customHeight="false" outlineLevel="0" collapsed="false">
      <c r="A332" s="15" t="n">
        <v>331</v>
      </c>
      <c r="B332" s="15" t="n">
        <v>29</v>
      </c>
      <c r="C332" s="16" t="s">
        <v>149</v>
      </c>
      <c r="D332" s="17" t="s">
        <v>512</v>
      </c>
      <c r="E332" s="15" t="s">
        <v>198</v>
      </c>
      <c r="F332" s="15" t="s">
        <v>58</v>
      </c>
      <c r="G332" s="15" t="s">
        <v>14</v>
      </c>
      <c r="H332" s="18"/>
      <c r="I332" s="15"/>
      <c r="J332" s="15" t="n">
        <v>0</v>
      </c>
      <c r="K332" s="18" t="str">
        <f aca="false">IF(J332&gt;=5,"Done",IF(H332="","",H332+CHOOSE(J332+1,1,3,7,21,60)))</f>
        <v/>
      </c>
      <c r="L332" s="16"/>
    </row>
    <row r="333" customFormat="false" ht="15" hidden="false" customHeight="false" outlineLevel="0" collapsed="false">
      <c r="A333" s="15" t="n">
        <v>332</v>
      </c>
      <c r="B333" s="15" t="n">
        <v>29</v>
      </c>
      <c r="C333" s="16" t="s">
        <v>149</v>
      </c>
      <c r="D333" s="17" t="s">
        <v>513</v>
      </c>
      <c r="E333" s="15" t="s">
        <v>185</v>
      </c>
      <c r="F333" s="15" t="s">
        <v>58</v>
      </c>
      <c r="G333" s="15" t="s">
        <v>14</v>
      </c>
      <c r="H333" s="18"/>
      <c r="I333" s="15"/>
      <c r="J333" s="15" t="n">
        <v>0</v>
      </c>
      <c r="K333" s="18" t="str">
        <f aca="false">IF(J333&gt;=5,"Done",IF(H333="","",H333+CHOOSE(J333+1,1,3,7,21,60)))</f>
        <v/>
      </c>
      <c r="L333" s="16"/>
    </row>
    <row r="334" customFormat="false" ht="15" hidden="false" customHeight="false" outlineLevel="0" collapsed="false">
      <c r="A334" s="15" t="n">
        <v>333</v>
      </c>
      <c r="B334" s="15" t="n">
        <v>29</v>
      </c>
      <c r="C334" s="16" t="s">
        <v>149</v>
      </c>
      <c r="D334" s="17" t="s">
        <v>514</v>
      </c>
      <c r="E334" s="15" t="s">
        <v>181</v>
      </c>
      <c r="F334" s="15" t="s">
        <v>58</v>
      </c>
      <c r="G334" s="15" t="s">
        <v>14</v>
      </c>
      <c r="H334" s="18"/>
      <c r="I334" s="15"/>
      <c r="J334" s="15" t="n">
        <v>0</v>
      </c>
      <c r="K334" s="18" t="str">
        <f aca="false">IF(J334&gt;=5,"Done",IF(H334="","",H334+CHOOSE(J334+1,1,3,7,21,60)))</f>
        <v/>
      </c>
      <c r="L334" s="16"/>
    </row>
    <row r="335" customFormat="false" ht="15" hidden="false" customHeight="false" outlineLevel="0" collapsed="false">
      <c r="A335" s="15" t="n">
        <v>334</v>
      </c>
      <c r="B335" s="15" t="n">
        <v>29</v>
      </c>
      <c r="C335" s="16" t="s">
        <v>149</v>
      </c>
      <c r="D335" s="17" t="s">
        <v>515</v>
      </c>
      <c r="E335" s="15" t="s">
        <v>181</v>
      </c>
      <c r="F335" s="15" t="s">
        <v>58</v>
      </c>
      <c r="G335" s="15" t="s">
        <v>14</v>
      </c>
      <c r="H335" s="18"/>
      <c r="I335" s="15"/>
      <c r="J335" s="15" t="n">
        <v>0</v>
      </c>
      <c r="K335" s="18" t="str">
        <f aca="false">IF(J335&gt;=5,"Done",IF(H335="","",H335+CHOOSE(J335+1,1,3,7,21,60)))</f>
        <v/>
      </c>
      <c r="L335" s="16"/>
    </row>
    <row r="336" customFormat="false" ht="15" hidden="false" customHeight="false" outlineLevel="0" collapsed="false">
      <c r="A336" s="15" t="n">
        <v>335</v>
      </c>
      <c r="B336" s="15" t="n">
        <v>29</v>
      </c>
      <c r="C336" s="16" t="s">
        <v>149</v>
      </c>
      <c r="D336" s="17" t="s">
        <v>516</v>
      </c>
      <c r="E336" s="15" t="s">
        <v>185</v>
      </c>
      <c r="F336" s="15" t="s">
        <v>58</v>
      </c>
      <c r="G336" s="15" t="s">
        <v>14</v>
      </c>
      <c r="H336" s="18"/>
      <c r="I336" s="15"/>
      <c r="J336" s="15" t="n">
        <v>0</v>
      </c>
      <c r="K336" s="18" t="str">
        <f aca="false">IF(J336&gt;=5,"Done",IF(H336="","",H336+CHOOSE(J336+1,1,3,7,21,60)))</f>
        <v/>
      </c>
      <c r="L336" s="16"/>
    </row>
    <row r="337" customFormat="false" ht="15" hidden="false" customHeight="false" outlineLevel="0" collapsed="false">
      <c r="A337" s="15" t="n">
        <v>336</v>
      </c>
      <c r="B337" s="15" t="n">
        <v>29</v>
      </c>
      <c r="C337" s="16" t="s">
        <v>149</v>
      </c>
      <c r="D337" s="17" t="s">
        <v>517</v>
      </c>
      <c r="E337" s="15" t="s">
        <v>185</v>
      </c>
      <c r="F337" s="15" t="s">
        <v>58</v>
      </c>
      <c r="G337" s="15" t="s">
        <v>14</v>
      </c>
      <c r="H337" s="18"/>
      <c r="I337" s="15"/>
      <c r="J337" s="15" t="n">
        <v>0</v>
      </c>
      <c r="K337" s="18" t="str">
        <f aca="false">IF(J337&gt;=5,"Done",IF(H337="","",H337+CHOOSE(J337+1,1,3,7,21,60)))</f>
        <v/>
      </c>
      <c r="L337" s="16"/>
    </row>
    <row r="338" customFormat="false" ht="15" hidden="false" customHeight="false" outlineLevel="0" collapsed="false">
      <c r="A338" s="15" t="n">
        <v>337</v>
      </c>
      <c r="B338" s="15" t="n">
        <v>29</v>
      </c>
      <c r="C338" s="16" t="s">
        <v>149</v>
      </c>
      <c r="D338" s="17" t="s">
        <v>518</v>
      </c>
      <c r="E338" s="15" t="s">
        <v>185</v>
      </c>
      <c r="F338" s="15" t="s">
        <v>58</v>
      </c>
      <c r="G338" s="15" t="s">
        <v>14</v>
      </c>
      <c r="H338" s="18"/>
      <c r="I338" s="15"/>
      <c r="J338" s="15" t="n">
        <v>0</v>
      </c>
      <c r="K338" s="18" t="str">
        <f aca="false">IF(J338&gt;=5,"Done",IF(H338="","",H338+CHOOSE(J338+1,1,3,7,21,60)))</f>
        <v/>
      </c>
      <c r="L338" s="16"/>
    </row>
    <row r="339" customFormat="false" ht="15" hidden="false" customHeight="false" outlineLevel="0" collapsed="false">
      <c r="A339" s="15" t="n">
        <v>338</v>
      </c>
      <c r="B339" s="15" t="n">
        <v>29</v>
      </c>
      <c r="C339" s="16" t="s">
        <v>149</v>
      </c>
      <c r="D339" s="17" t="s">
        <v>519</v>
      </c>
      <c r="E339" s="15" t="s">
        <v>185</v>
      </c>
      <c r="F339" s="15" t="s">
        <v>58</v>
      </c>
      <c r="G339" s="15" t="s">
        <v>14</v>
      </c>
      <c r="H339" s="18"/>
      <c r="I339" s="15"/>
      <c r="J339" s="15" t="n">
        <v>0</v>
      </c>
      <c r="K339" s="18" t="str">
        <f aca="false">IF(J339&gt;=5,"Done",IF(H339="","",H339+CHOOSE(J339+1,1,3,7,21,60)))</f>
        <v/>
      </c>
      <c r="L339" s="16"/>
    </row>
    <row r="340" customFormat="false" ht="15" hidden="false" customHeight="false" outlineLevel="0" collapsed="false">
      <c r="A340" s="15" t="n">
        <v>339</v>
      </c>
      <c r="B340" s="15" t="n">
        <v>29</v>
      </c>
      <c r="C340" s="16" t="s">
        <v>149</v>
      </c>
      <c r="D340" s="17" t="s">
        <v>520</v>
      </c>
      <c r="E340" s="15" t="s">
        <v>185</v>
      </c>
      <c r="F340" s="15" t="s">
        <v>58</v>
      </c>
      <c r="G340" s="15" t="s">
        <v>14</v>
      </c>
      <c r="H340" s="18"/>
      <c r="I340" s="15"/>
      <c r="J340" s="15" t="n">
        <v>0</v>
      </c>
      <c r="K340" s="18" t="str">
        <f aca="false">IF(J340&gt;=5,"Done",IF(H340="","",H340+CHOOSE(J340+1,1,3,7,21,60)))</f>
        <v/>
      </c>
      <c r="L340" s="16"/>
    </row>
    <row r="341" customFormat="false" ht="15" hidden="false" customHeight="false" outlineLevel="0" collapsed="false">
      <c r="A341" s="15" t="n">
        <v>340</v>
      </c>
      <c r="B341" s="15" t="n">
        <v>30</v>
      </c>
      <c r="C341" s="16" t="s">
        <v>151</v>
      </c>
      <c r="D341" s="17" t="s">
        <v>521</v>
      </c>
      <c r="E341" s="15" t="s">
        <v>185</v>
      </c>
      <c r="F341" s="15" t="s">
        <v>56</v>
      </c>
      <c r="G341" s="15" t="s">
        <v>14</v>
      </c>
      <c r="H341" s="18"/>
      <c r="I341" s="15"/>
      <c r="J341" s="15" t="n">
        <v>0</v>
      </c>
      <c r="K341" s="18" t="str">
        <f aca="false">IF(J341&gt;=5,"Done",IF(H341="","",H341+CHOOSE(J341+1,1,3,7,21,60)))</f>
        <v/>
      </c>
      <c r="L341" s="16"/>
    </row>
    <row r="342" customFormat="false" ht="15" hidden="false" customHeight="false" outlineLevel="0" collapsed="false">
      <c r="A342" s="15" t="n">
        <v>341</v>
      </c>
      <c r="B342" s="15" t="n">
        <v>30</v>
      </c>
      <c r="C342" s="16" t="s">
        <v>151</v>
      </c>
      <c r="D342" s="17" t="s">
        <v>522</v>
      </c>
      <c r="E342" s="15" t="s">
        <v>185</v>
      </c>
      <c r="F342" s="15" t="s">
        <v>58</v>
      </c>
      <c r="G342" s="15" t="s">
        <v>14</v>
      </c>
      <c r="H342" s="18"/>
      <c r="I342" s="15"/>
      <c r="J342" s="15" t="n">
        <v>0</v>
      </c>
      <c r="K342" s="18" t="str">
        <f aca="false">IF(J342&gt;=5,"Done",IF(H342="","",H342+CHOOSE(J342+1,1,3,7,21,60)))</f>
        <v/>
      </c>
      <c r="L342" s="16"/>
    </row>
    <row r="343" customFormat="false" ht="15" hidden="false" customHeight="false" outlineLevel="0" collapsed="false">
      <c r="A343" s="15" t="n">
        <v>342</v>
      </c>
      <c r="B343" s="15" t="n">
        <v>30</v>
      </c>
      <c r="C343" s="16" t="s">
        <v>151</v>
      </c>
      <c r="D343" s="17" t="s">
        <v>523</v>
      </c>
      <c r="E343" s="15" t="s">
        <v>198</v>
      </c>
      <c r="F343" s="15" t="s">
        <v>58</v>
      </c>
      <c r="G343" s="15" t="s">
        <v>14</v>
      </c>
      <c r="H343" s="18"/>
      <c r="I343" s="15"/>
      <c r="J343" s="15" t="n">
        <v>0</v>
      </c>
      <c r="K343" s="18" t="str">
        <f aca="false">IF(J343&gt;=5,"Done",IF(H343="","",H343+CHOOSE(J343+1,1,3,7,21,60)))</f>
        <v/>
      </c>
      <c r="L343" s="16"/>
    </row>
    <row r="344" customFormat="false" ht="15" hidden="false" customHeight="false" outlineLevel="0" collapsed="false">
      <c r="A344" s="15" t="n">
        <v>343</v>
      </c>
      <c r="B344" s="15" t="n">
        <v>30</v>
      </c>
      <c r="C344" s="16" t="s">
        <v>151</v>
      </c>
      <c r="D344" s="17" t="s">
        <v>524</v>
      </c>
      <c r="E344" s="15" t="s">
        <v>198</v>
      </c>
      <c r="F344" s="15" t="s">
        <v>58</v>
      </c>
      <c r="G344" s="15" t="s">
        <v>14</v>
      </c>
      <c r="H344" s="18"/>
      <c r="I344" s="15"/>
      <c r="J344" s="15" t="n">
        <v>0</v>
      </c>
      <c r="K344" s="18" t="str">
        <f aca="false">IF(J344&gt;=5,"Done",IF(H344="","",H344+CHOOSE(J344+1,1,3,7,21,60)))</f>
        <v/>
      </c>
      <c r="L344" s="16"/>
    </row>
    <row r="345" customFormat="false" ht="15" hidden="false" customHeight="false" outlineLevel="0" collapsed="false">
      <c r="A345" s="15" t="n">
        <v>344</v>
      </c>
      <c r="B345" s="15" t="n">
        <v>30</v>
      </c>
      <c r="C345" s="16" t="s">
        <v>151</v>
      </c>
      <c r="D345" s="17" t="s">
        <v>525</v>
      </c>
      <c r="E345" s="15" t="s">
        <v>198</v>
      </c>
      <c r="F345" s="15" t="s">
        <v>58</v>
      </c>
      <c r="G345" s="15" t="s">
        <v>14</v>
      </c>
      <c r="H345" s="18"/>
      <c r="I345" s="15"/>
      <c r="J345" s="15" t="n">
        <v>0</v>
      </c>
      <c r="K345" s="18" t="str">
        <f aca="false">IF(J345&gt;=5,"Done",IF(H345="","",H345+CHOOSE(J345+1,1,3,7,21,60)))</f>
        <v/>
      </c>
      <c r="L345" s="16"/>
    </row>
    <row r="346" customFormat="false" ht="15" hidden="false" customHeight="false" outlineLevel="0" collapsed="false">
      <c r="A346" s="15" t="n">
        <v>345</v>
      </c>
      <c r="B346" s="15" t="n">
        <v>30</v>
      </c>
      <c r="C346" s="16" t="s">
        <v>151</v>
      </c>
      <c r="D346" s="17" t="s">
        <v>526</v>
      </c>
      <c r="E346" s="15" t="s">
        <v>198</v>
      </c>
      <c r="F346" s="15" t="s">
        <v>58</v>
      </c>
      <c r="G346" s="15" t="s">
        <v>14</v>
      </c>
      <c r="H346" s="18"/>
      <c r="I346" s="15"/>
      <c r="J346" s="15" t="n">
        <v>0</v>
      </c>
      <c r="K346" s="18" t="str">
        <f aca="false">IF(J346&gt;=5,"Done",IF(H346="","",H346+CHOOSE(J346+1,1,3,7,21,60)))</f>
        <v/>
      </c>
      <c r="L346" s="16"/>
    </row>
    <row r="347" customFormat="false" ht="15" hidden="false" customHeight="false" outlineLevel="0" collapsed="false">
      <c r="A347" s="15" t="n">
        <v>346</v>
      </c>
      <c r="B347" s="15" t="n">
        <v>30</v>
      </c>
      <c r="C347" s="16" t="s">
        <v>151</v>
      </c>
      <c r="D347" s="17" t="s">
        <v>527</v>
      </c>
      <c r="E347" s="15" t="s">
        <v>198</v>
      </c>
      <c r="F347" s="15" t="s">
        <v>58</v>
      </c>
      <c r="G347" s="15" t="s">
        <v>14</v>
      </c>
      <c r="H347" s="18"/>
      <c r="I347" s="15"/>
      <c r="J347" s="15" t="n">
        <v>0</v>
      </c>
      <c r="K347" s="18" t="str">
        <f aca="false">IF(J347&gt;=5,"Done",IF(H347="","",H347+CHOOSE(J347+1,1,3,7,21,60)))</f>
        <v/>
      </c>
      <c r="L347" s="16"/>
    </row>
    <row r="348" customFormat="false" ht="15" hidden="false" customHeight="false" outlineLevel="0" collapsed="false">
      <c r="A348" s="15" t="n">
        <v>347</v>
      </c>
      <c r="B348" s="15" t="n">
        <v>30</v>
      </c>
      <c r="C348" s="16" t="s">
        <v>151</v>
      </c>
      <c r="D348" s="17" t="s">
        <v>528</v>
      </c>
      <c r="E348" s="15" t="s">
        <v>185</v>
      </c>
      <c r="F348" s="15" t="s">
        <v>58</v>
      </c>
      <c r="G348" s="15" t="s">
        <v>14</v>
      </c>
      <c r="H348" s="18"/>
      <c r="I348" s="15"/>
      <c r="J348" s="15" t="n">
        <v>0</v>
      </c>
      <c r="K348" s="18" t="str">
        <f aca="false">IF(J348&gt;=5,"Done",IF(H348="","",H348+CHOOSE(J348+1,1,3,7,21,60)))</f>
        <v/>
      </c>
      <c r="L348" s="16"/>
    </row>
    <row r="349" customFormat="false" ht="15" hidden="false" customHeight="false" outlineLevel="0" collapsed="false">
      <c r="A349" s="15" t="n">
        <v>348</v>
      </c>
      <c r="B349" s="15" t="n">
        <v>30</v>
      </c>
      <c r="C349" s="16" t="s">
        <v>151</v>
      </c>
      <c r="D349" s="17" t="s">
        <v>529</v>
      </c>
      <c r="E349" s="15" t="s">
        <v>185</v>
      </c>
      <c r="F349" s="15" t="s">
        <v>58</v>
      </c>
      <c r="G349" s="15" t="s">
        <v>14</v>
      </c>
      <c r="H349" s="18"/>
      <c r="I349" s="15"/>
      <c r="J349" s="15" t="n">
        <v>0</v>
      </c>
      <c r="K349" s="18" t="str">
        <f aca="false">IF(J349&gt;=5,"Done",IF(H349="","",H349+CHOOSE(J349+1,1,3,7,21,60)))</f>
        <v/>
      </c>
      <c r="L349" s="16"/>
    </row>
    <row r="350" customFormat="false" ht="15" hidden="false" customHeight="false" outlineLevel="0" collapsed="false">
      <c r="A350" s="15" t="n">
        <v>349</v>
      </c>
      <c r="B350" s="15" t="n">
        <v>30</v>
      </c>
      <c r="C350" s="16" t="s">
        <v>151</v>
      </c>
      <c r="D350" s="17" t="s">
        <v>530</v>
      </c>
      <c r="E350" s="15" t="s">
        <v>185</v>
      </c>
      <c r="F350" s="15" t="s">
        <v>58</v>
      </c>
      <c r="G350" s="15" t="s">
        <v>14</v>
      </c>
      <c r="H350" s="18"/>
      <c r="I350" s="15"/>
      <c r="J350" s="15" t="n">
        <v>0</v>
      </c>
      <c r="K350" s="18" t="str">
        <f aca="false">IF(J350&gt;=5,"Done",IF(H350="","",H350+CHOOSE(J350+1,1,3,7,21,60)))</f>
        <v/>
      </c>
      <c r="L350" s="16"/>
    </row>
    <row r="351" customFormat="false" ht="15" hidden="false" customHeight="false" outlineLevel="0" collapsed="false">
      <c r="A351" s="15" t="n">
        <v>350</v>
      </c>
      <c r="B351" s="15" t="n">
        <v>31</v>
      </c>
      <c r="C351" s="16" t="s">
        <v>155</v>
      </c>
      <c r="D351" s="17" t="s">
        <v>531</v>
      </c>
      <c r="E351" s="15" t="s">
        <v>198</v>
      </c>
      <c r="F351" s="15" t="s">
        <v>58</v>
      </c>
      <c r="G351" s="15" t="s">
        <v>14</v>
      </c>
      <c r="H351" s="18"/>
      <c r="I351" s="15"/>
      <c r="J351" s="15" t="n">
        <v>0</v>
      </c>
      <c r="K351" s="18" t="str">
        <f aca="false">IF(J351&gt;=5,"Done",IF(H351="","",H351+CHOOSE(J351+1,1,3,7,21,60)))</f>
        <v/>
      </c>
      <c r="L351" s="16"/>
    </row>
    <row r="352" customFormat="false" ht="15" hidden="false" customHeight="false" outlineLevel="0" collapsed="false">
      <c r="A352" s="15" t="n">
        <v>351</v>
      </c>
      <c r="B352" s="15" t="n">
        <v>31</v>
      </c>
      <c r="C352" s="16" t="s">
        <v>155</v>
      </c>
      <c r="D352" s="17" t="s">
        <v>532</v>
      </c>
      <c r="E352" s="15" t="s">
        <v>198</v>
      </c>
      <c r="F352" s="15" t="s">
        <v>58</v>
      </c>
      <c r="G352" s="15" t="s">
        <v>14</v>
      </c>
      <c r="H352" s="18"/>
      <c r="I352" s="15"/>
      <c r="J352" s="15" t="n">
        <v>0</v>
      </c>
      <c r="K352" s="18" t="str">
        <f aca="false">IF(J352&gt;=5,"Done",IF(H352="","",H352+CHOOSE(J352+1,1,3,7,21,60)))</f>
        <v/>
      </c>
      <c r="L352" s="16"/>
    </row>
    <row r="353" customFormat="false" ht="15" hidden="false" customHeight="false" outlineLevel="0" collapsed="false">
      <c r="A353" s="15" t="n">
        <v>352</v>
      </c>
      <c r="B353" s="15" t="n">
        <v>31</v>
      </c>
      <c r="C353" s="16" t="s">
        <v>155</v>
      </c>
      <c r="D353" s="17" t="s">
        <v>533</v>
      </c>
      <c r="E353" s="15" t="s">
        <v>198</v>
      </c>
      <c r="F353" s="15" t="s">
        <v>58</v>
      </c>
      <c r="G353" s="15" t="s">
        <v>14</v>
      </c>
      <c r="H353" s="18"/>
      <c r="I353" s="15"/>
      <c r="J353" s="15" t="n">
        <v>0</v>
      </c>
      <c r="K353" s="18" t="str">
        <f aca="false">IF(J353&gt;=5,"Done",IF(H353="","",H353+CHOOSE(J353+1,1,3,7,21,60)))</f>
        <v/>
      </c>
      <c r="L353" s="16"/>
    </row>
    <row r="354" customFormat="false" ht="15" hidden="false" customHeight="false" outlineLevel="0" collapsed="false">
      <c r="A354" s="15" t="n">
        <v>353</v>
      </c>
      <c r="B354" s="15" t="n">
        <v>31</v>
      </c>
      <c r="C354" s="16" t="s">
        <v>155</v>
      </c>
      <c r="D354" s="17" t="s">
        <v>534</v>
      </c>
      <c r="E354" s="15" t="s">
        <v>198</v>
      </c>
      <c r="F354" s="15" t="s">
        <v>58</v>
      </c>
      <c r="G354" s="15" t="s">
        <v>14</v>
      </c>
      <c r="H354" s="18"/>
      <c r="I354" s="15"/>
      <c r="J354" s="15" t="n">
        <v>0</v>
      </c>
      <c r="K354" s="18" t="str">
        <f aca="false">IF(J354&gt;=5,"Done",IF(H354="","",H354+CHOOSE(J354+1,1,3,7,21,60)))</f>
        <v/>
      </c>
      <c r="L354" s="16"/>
    </row>
    <row r="355" customFormat="false" ht="15" hidden="false" customHeight="false" outlineLevel="0" collapsed="false">
      <c r="A355" s="15" t="n">
        <v>354</v>
      </c>
      <c r="B355" s="15" t="n">
        <v>31</v>
      </c>
      <c r="C355" s="16" t="s">
        <v>155</v>
      </c>
      <c r="D355" s="17" t="s">
        <v>535</v>
      </c>
      <c r="E355" s="15" t="s">
        <v>198</v>
      </c>
      <c r="F355" s="15" t="s">
        <v>58</v>
      </c>
      <c r="G355" s="15" t="s">
        <v>14</v>
      </c>
      <c r="H355" s="18"/>
      <c r="I355" s="15"/>
      <c r="J355" s="15" t="n">
        <v>0</v>
      </c>
      <c r="K355" s="18" t="str">
        <f aca="false">IF(J355&gt;=5,"Done",IF(H355="","",H355+CHOOSE(J355+1,1,3,7,21,60)))</f>
        <v/>
      </c>
      <c r="L355" s="16"/>
    </row>
    <row r="356" customFormat="false" ht="15" hidden="false" customHeight="false" outlineLevel="0" collapsed="false">
      <c r="A356" s="15" t="n">
        <v>355</v>
      </c>
      <c r="B356" s="15" t="n">
        <v>31</v>
      </c>
      <c r="C356" s="16" t="s">
        <v>155</v>
      </c>
      <c r="D356" s="17" t="s">
        <v>536</v>
      </c>
      <c r="E356" s="15" t="s">
        <v>198</v>
      </c>
      <c r="F356" s="15" t="s">
        <v>58</v>
      </c>
      <c r="G356" s="15" t="s">
        <v>14</v>
      </c>
      <c r="H356" s="18"/>
      <c r="I356" s="15"/>
      <c r="J356" s="15" t="n">
        <v>0</v>
      </c>
      <c r="K356" s="18" t="str">
        <f aca="false">IF(J356&gt;=5,"Done",IF(H356="","",H356+CHOOSE(J356+1,1,3,7,21,60)))</f>
        <v/>
      </c>
      <c r="L356" s="16"/>
    </row>
    <row r="357" customFormat="false" ht="15" hidden="false" customHeight="false" outlineLevel="0" collapsed="false">
      <c r="A357" s="15" t="n">
        <v>356</v>
      </c>
      <c r="B357" s="15" t="n">
        <v>31</v>
      </c>
      <c r="C357" s="16" t="s">
        <v>155</v>
      </c>
      <c r="D357" s="17" t="s">
        <v>537</v>
      </c>
      <c r="E357" s="15" t="s">
        <v>185</v>
      </c>
      <c r="F357" s="15" t="s">
        <v>58</v>
      </c>
      <c r="G357" s="15" t="s">
        <v>14</v>
      </c>
      <c r="H357" s="18"/>
      <c r="I357" s="15"/>
      <c r="J357" s="15" t="n">
        <v>0</v>
      </c>
      <c r="K357" s="18" t="str">
        <f aca="false">IF(J357&gt;=5,"Done",IF(H357="","",H357+CHOOSE(J357+1,1,3,7,21,60)))</f>
        <v/>
      </c>
      <c r="L357" s="16"/>
    </row>
    <row r="358" customFormat="false" ht="15" hidden="false" customHeight="false" outlineLevel="0" collapsed="false">
      <c r="A358" s="15" t="n">
        <v>357</v>
      </c>
      <c r="B358" s="15" t="n">
        <v>31</v>
      </c>
      <c r="C358" s="16" t="s">
        <v>155</v>
      </c>
      <c r="D358" s="17" t="s">
        <v>538</v>
      </c>
      <c r="E358" s="15" t="s">
        <v>198</v>
      </c>
      <c r="F358" s="15" t="s">
        <v>58</v>
      </c>
      <c r="G358" s="15" t="s">
        <v>14</v>
      </c>
      <c r="H358" s="18"/>
      <c r="I358" s="15"/>
      <c r="J358" s="15" t="n">
        <v>0</v>
      </c>
      <c r="K358" s="18" t="str">
        <f aca="false">IF(J358&gt;=5,"Done",IF(H358="","",H358+CHOOSE(J358+1,1,3,7,21,60)))</f>
        <v/>
      </c>
      <c r="L358" s="16"/>
    </row>
    <row r="359" customFormat="false" ht="15" hidden="false" customHeight="false" outlineLevel="0" collapsed="false">
      <c r="A359" s="15" t="n">
        <v>358</v>
      </c>
      <c r="B359" s="15" t="n">
        <v>32</v>
      </c>
      <c r="C359" s="16" t="s">
        <v>157</v>
      </c>
      <c r="D359" s="17" t="s">
        <v>539</v>
      </c>
      <c r="E359" s="15" t="s">
        <v>181</v>
      </c>
      <c r="F359" s="15" t="s">
        <v>58</v>
      </c>
      <c r="G359" s="15" t="s">
        <v>14</v>
      </c>
      <c r="H359" s="18"/>
      <c r="I359" s="15"/>
      <c r="J359" s="15" t="n">
        <v>0</v>
      </c>
      <c r="K359" s="18" t="str">
        <f aca="false">IF(J359&gt;=5,"Done",IF(H359="","",H359+CHOOSE(J359+1,1,3,7,21,60)))</f>
        <v/>
      </c>
      <c r="L359" s="16"/>
    </row>
    <row r="360" customFormat="false" ht="15" hidden="false" customHeight="false" outlineLevel="0" collapsed="false">
      <c r="A360" s="15" t="n">
        <v>359</v>
      </c>
      <c r="B360" s="15" t="n">
        <v>32</v>
      </c>
      <c r="C360" s="16" t="s">
        <v>157</v>
      </c>
      <c r="D360" s="17" t="s">
        <v>540</v>
      </c>
      <c r="E360" s="15" t="s">
        <v>185</v>
      </c>
      <c r="F360" s="15" t="s">
        <v>58</v>
      </c>
      <c r="G360" s="15" t="s">
        <v>14</v>
      </c>
      <c r="H360" s="18"/>
      <c r="I360" s="15"/>
      <c r="J360" s="15" t="n">
        <v>0</v>
      </c>
      <c r="K360" s="18" t="str">
        <f aca="false">IF(J360&gt;=5,"Done",IF(H360="","",H360+CHOOSE(J360+1,1,3,7,21,60)))</f>
        <v/>
      </c>
      <c r="L360" s="16"/>
    </row>
    <row r="361" customFormat="false" ht="15" hidden="false" customHeight="false" outlineLevel="0" collapsed="false">
      <c r="A361" s="15" t="n">
        <v>360</v>
      </c>
      <c r="B361" s="15" t="n">
        <v>32</v>
      </c>
      <c r="C361" s="16" t="s">
        <v>157</v>
      </c>
      <c r="D361" s="17" t="s">
        <v>541</v>
      </c>
      <c r="E361" s="15" t="s">
        <v>185</v>
      </c>
      <c r="F361" s="15" t="s">
        <v>58</v>
      </c>
      <c r="G361" s="15" t="s">
        <v>14</v>
      </c>
      <c r="H361" s="18"/>
      <c r="I361" s="15"/>
      <c r="J361" s="15" t="n">
        <v>0</v>
      </c>
      <c r="K361" s="18" t="str">
        <f aca="false">IF(J361&gt;=5,"Done",IF(H361="","",H361+CHOOSE(J361+1,1,3,7,21,60)))</f>
        <v/>
      </c>
      <c r="L361" s="16"/>
    </row>
    <row r="362" customFormat="false" ht="15" hidden="false" customHeight="false" outlineLevel="0" collapsed="false">
      <c r="A362" s="15" t="n">
        <v>361</v>
      </c>
      <c r="B362" s="15" t="n">
        <v>32</v>
      </c>
      <c r="C362" s="16" t="s">
        <v>157</v>
      </c>
      <c r="D362" s="17" t="s">
        <v>542</v>
      </c>
      <c r="E362" s="15" t="s">
        <v>185</v>
      </c>
      <c r="F362" s="15" t="s">
        <v>58</v>
      </c>
      <c r="G362" s="15" t="s">
        <v>14</v>
      </c>
      <c r="H362" s="18"/>
      <c r="I362" s="15"/>
      <c r="J362" s="15" t="n">
        <v>0</v>
      </c>
      <c r="K362" s="18" t="str">
        <f aca="false">IF(J362&gt;=5,"Done",IF(H362="","",H362+CHOOSE(J362+1,1,3,7,21,60)))</f>
        <v/>
      </c>
      <c r="L362" s="16"/>
    </row>
    <row r="363" customFormat="false" ht="15" hidden="false" customHeight="false" outlineLevel="0" collapsed="false">
      <c r="A363" s="15" t="n">
        <v>362</v>
      </c>
      <c r="B363" s="15" t="n">
        <v>32</v>
      </c>
      <c r="C363" s="16" t="s">
        <v>157</v>
      </c>
      <c r="D363" s="17" t="s">
        <v>543</v>
      </c>
      <c r="E363" s="15" t="s">
        <v>185</v>
      </c>
      <c r="F363" s="15" t="s">
        <v>58</v>
      </c>
      <c r="G363" s="15" t="s">
        <v>14</v>
      </c>
      <c r="H363" s="18"/>
      <c r="I363" s="15"/>
      <c r="J363" s="15" t="n">
        <v>0</v>
      </c>
      <c r="K363" s="18" t="str">
        <f aca="false">IF(J363&gt;=5,"Done",IF(H363="","",H363+CHOOSE(J363+1,1,3,7,21,60)))</f>
        <v/>
      </c>
      <c r="L363" s="16"/>
    </row>
    <row r="364" customFormat="false" ht="15" hidden="false" customHeight="false" outlineLevel="0" collapsed="false">
      <c r="A364" s="15" t="n">
        <v>363</v>
      </c>
      <c r="B364" s="15" t="n">
        <v>32</v>
      </c>
      <c r="C364" s="16" t="s">
        <v>157</v>
      </c>
      <c r="D364" s="17" t="s">
        <v>544</v>
      </c>
      <c r="E364" s="15" t="s">
        <v>185</v>
      </c>
      <c r="F364" s="15" t="s">
        <v>58</v>
      </c>
      <c r="G364" s="15" t="s">
        <v>14</v>
      </c>
      <c r="H364" s="18"/>
      <c r="I364" s="15"/>
      <c r="J364" s="15" t="n">
        <v>0</v>
      </c>
      <c r="K364" s="18" t="str">
        <f aca="false">IF(J364&gt;=5,"Done",IF(H364="","",H364+CHOOSE(J364+1,1,3,7,21,60)))</f>
        <v/>
      </c>
      <c r="L364" s="16"/>
    </row>
    <row r="365" customFormat="false" ht="15" hidden="false" customHeight="false" outlineLevel="0" collapsed="false">
      <c r="A365" s="15" t="n">
        <v>364</v>
      </c>
      <c r="B365" s="15" t="n">
        <v>32</v>
      </c>
      <c r="C365" s="16" t="s">
        <v>157</v>
      </c>
      <c r="D365" s="17" t="s">
        <v>545</v>
      </c>
      <c r="E365" s="15" t="s">
        <v>185</v>
      </c>
      <c r="F365" s="15" t="s">
        <v>56</v>
      </c>
      <c r="G365" s="15" t="s">
        <v>14</v>
      </c>
      <c r="H365" s="18"/>
      <c r="I365" s="15"/>
      <c r="J365" s="15" t="n">
        <v>0</v>
      </c>
      <c r="K365" s="18" t="str">
        <f aca="false">IF(J365&gt;=5,"Done",IF(H365="","",H365+CHOOSE(J365+1,1,3,7,21,60)))</f>
        <v/>
      </c>
      <c r="L365" s="16"/>
    </row>
    <row r="366" customFormat="false" ht="15" hidden="false" customHeight="false" outlineLevel="0" collapsed="false">
      <c r="A366" s="15" t="n">
        <v>365</v>
      </c>
      <c r="B366" s="15" t="n">
        <v>32</v>
      </c>
      <c r="C366" s="16" t="s">
        <v>157</v>
      </c>
      <c r="D366" s="17" t="s">
        <v>546</v>
      </c>
      <c r="E366" s="15" t="s">
        <v>185</v>
      </c>
      <c r="F366" s="15" t="s">
        <v>58</v>
      </c>
      <c r="G366" s="15" t="s">
        <v>14</v>
      </c>
      <c r="H366" s="18"/>
      <c r="I366" s="15"/>
      <c r="J366" s="15" t="n">
        <v>0</v>
      </c>
      <c r="K366" s="18" t="str">
        <f aca="false">IF(J366&gt;=5,"Done",IF(H366="","",H366+CHOOSE(J366+1,1,3,7,21,60)))</f>
        <v/>
      </c>
      <c r="L366" s="16"/>
    </row>
    <row r="367" customFormat="false" ht="15" hidden="false" customHeight="false" outlineLevel="0" collapsed="false">
      <c r="A367" s="15" t="n">
        <v>366</v>
      </c>
      <c r="B367" s="15" t="n">
        <v>32</v>
      </c>
      <c r="C367" s="16" t="s">
        <v>157</v>
      </c>
      <c r="D367" s="17" t="s">
        <v>547</v>
      </c>
      <c r="E367" s="15" t="s">
        <v>185</v>
      </c>
      <c r="F367" s="15" t="s">
        <v>56</v>
      </c>
      <c r="G367" s="15" t="s">
        <v>14</v>
      </c>
      <c r="H367" s="18"/>
      <c r="I367" s="15"/>
      <c r="J367" s="15" t="n">
        <v>0</v>
      </c>
      <c r="K367" s="18" t="str">
        <f aca="false">IF(J367&gt;=5,"Done",IF(H367="","",H367+CHOOSE(J367+1,1,3,7,21,60)))</f>
        <v/>
      </c>
      <c r="L367" s="16"/>
    </row>
    <row r="368" customFormat="false" ht="15" hidden="false" customHeight="false" outlineLevel="0" collapsed="false">
      <c r="A368" s="15" t="n">
        <v>367</v>
      </c>
      <c r="B368" s="15" t="n">
        <v>32</v>
      </c>
      <c r="C368" s="16" t="s">
        <v>157</v>
      </c>
      <c r="D368" s="17" t="s">
        <v>548</v>
      </c>
      <c r="E368" s="15" t="s">
        <v>185</v>
      </c>
      <c r="F368" s="15" t="s">
        <v>58</v>
      </c>
      <c r="G368" s="15" t="s">
        <v>14</v>
      </c>
      <c r="H368" s="18"/>
      <c r="I368" s="15"/>
      <c r="J368" s="15" t="n">
        <v>0</v>
      </c>
      <c r="K368" s="18" t="str">
        <f aca="false">IF(J368&gt;=5,"Done",IF(H368="","",H368+CHOOSE(J368+1,1,3,7,21,60)))</f>
        <v/>
      </c>
      <c r="L368" s="16"/>
    </row>
    <row r="369" customFormat="false" ht="15" hidden="false" customHeight="false" outlineLevel="0" collapsed="false">
      <c r="A369" s="15" t="n">
        <v>368</v>
      </c>
      <c r="B369" s="15" t="n">
        <v>32</v>
      </c>
      <c r="C369" s="16" t="s">
        <v>157</v>
      </c>
      <c r="D369" s="17" t="s">
        <v>549</v>
      </c>
      <c r="E369" s="15" t="s">
        <v>185</v>
      </c>
      <c r="F369" s="15" t="s">
        <v>58</v>
      </c>
      <c r="G369" s="15" t="s">
        <v>14</v>
      </c>
      <c r="H369" s="18"/>
      <c r="I369" s="15"/>
      <c r="J369" s="15" t="n">
        <v>0</v>
      </c>
      <c r="K369" s="18" t="str">
        <f aca="false">IF(J369&gt;=5,"Done",IF(H369="","",H369+CHOOSE(J369+1,1,3,7,21,60)))</f>
        <v/>
      </c>
      <c r="L369" s="16"/>
    </row>
    <row r="370" customFormat="false" ht="15" hidden="false" customHeight="false" outlineLevel="0" collapsed="false">
      <c r="A370" s="15" t="n">
        <v>369</v>
      </c>
      <c r="B370" s="15" t="n">
        <v>33</v>
      </c>
      <c r="C370" s="16" t="s">
        <v>159</v>
      </c>
      <c r="D370" s="17" t="s">
        <v>550</v>
      </c>
      <c r="E370" s="15" t="s">
        <v>185</v>
      </c>
      <c r="F370" s="15" t="s">
        <v>58</v>
      </c>
      <c r="G370" s="15" t="s">
        <v>14</v>
      </c>
      <c r="H370" s="18"/>
      <c r="I370" s="15"/>
      <c r="J370" s="15" t="n">
        <v>0</v>
      </c>
      <c r="K370" s="18" t="str">
        <f aca="false">IF(J370&gt;=5,"Done",IF(H370="","",H370+CHOOSE(J370+1,1,3,7,21,60)))</f>
        <v/>
      </c>
      <c r="L370" s="16"/>
    </row>
    <row r="371" customFormat="false" ht="15" hidden="false" customHeight="false" outlineLevel="0" collapsed="false">
      <c r="A371" s="15" t="n">
        <v>370</v>
      </c>
      <c r="B371" s="15" t="n">
        <v>33</v>
      </c>
      <c r="C371" s="16" t="s">
        <v>159</v>
      </c>
      <c r="D371" s="17" t="s">
        <v>551</v>
      </c>
      <c r="E371" s="15" t="s">
        <v>185</v>
      </c>
      <c r="F371" s="15" t="s">
        <v>58</v>
      </c>
      <c r="G371" s="15" t="s">
        <v>14</v>
      </c>
      <c r="H371" s="18"/>
      <c r="I371" s="15"/>
      <c r="J371" s="15" t="n">
        <v>0</v>
      </c>
      <c r="K371" s="18" t="str">
        <f aca="false">IF(J371&gt;=5,"Done",IF(H371="","",H371+CHOOSE(J371+1,1,3,7,21,60)))</f>
        <v/>
      </c>
      <c r="L371" s="16"/>
    </row>
    <row r="372" customFormat="false" ht="15" hidden="false" customHeight="false" outlineLevel="0" collapsed="false">
      <c r="A372" s="15" t="n">
        <v>371</v>
      </c>
      <c r="B372" s="15" t="n">
        <v>33</v>
      </c>
      <c r="C372" s="16" t="s">
        <v>159</v>
      </c>
      <c r="D372" s="17" t="s">
        <v>552</v>
      </c>
      <c r="E372" s="15" t="s">
        <v>198</v>
      </c>
      <c r="F372" s="15" t="s">
        <v>58</v>
      </c>
      <c r="G372" s="15" t="s">
        <v>14</v>
      </c>
      <c r="H372" s="18"/>
      <c r="I372" s="15"/>
      <c r="J372" s="15" t="n">
        <v>0</v>
      </c>
      <c r="K372" s="18" t="str">
        <f aca="false">IF(J372&gt;=5,"Done",IF(H372="","",H372+CHOOSE(J372+1,1,3,7,21,60)))</f>
        <v/>
      </c>
      <c r="L372" s="16"/>
    </row>
    <row r="373" customFormat="false" ht="15" hidden="false" customHeight="false" outlineLevel="0" collapsed="false">
      <c r="A373" s="15" t="n">
        <v>372</v>
      </c>
      <c r="B373" s="15" t="n">
        <v>33</v>
      </c>
      <c r="C373" s="16" t="s">
        <v>159</v>
      </c>
      <c r="D373" s="17" t="s">
        <v>553</v>
      </c>
      <c r="E373" s="15" t="s">
        <v>198</v>
      </c>
      <c r="F373" s="15" t="s">
        <v>58</v>
      </c>
      <c r="G373" s="15" t="s">
        <v>14</v>
      </c>
      <c r="H373" s="18"/>
      <c r="I373" s="15"/>
      <c r="J373" s="15" t="n">
        <v>0</v>
      </c>
      <c r="K373" s="18" t="str">
        <f aca="false">IF(J373&gt;=5,"Done",IF(H373="","",H373+CHOOSE(J373+1,1,3,7,21,60)))</f>
        <v/>
      </c>
      <c r="L373" s="16"/>
    </row>
    <row r="374" customFormat="false" ht="15" hidden="false" customHeight="false" outlineLevel="0" collapsed="false">
      <c r="A374" s="15" t="n">
        <v>373</v>
      </c>
      <c r="B374" s="15" t="n">
        <v>33</v>
      </c>
      <c r="C374" s="16" t="s">
        <v>159</v>
      </c>
      <c r="D374" s="17" t="s">
        <v>554</v>
      </c>
      <c r="E374" s="15" t="s">
        <v>185</v>
      </c>
      <c r="F374" s="15" t="s">
        <v>58</v>
      </c>
      <c r="G374" s="15" t="s">
        <v>14</v>
      </c>
      <c r="H374" s="18"/>
      <c r="I374" s="15"/>
      <c r="J374" s="15" t="n">
        <v>0</v>
      </c>
      <c r="K374" s="18" t="str">
        <f aca="false">IF(J374&gt;=5,"Done",IF(H374="","",H374+CHOOSE(J374+1,1,3,7,21,60)))</f>
        <v/>
      </c>
      <c r="L374" s="16"/>
    </row>
    <row r="375" customFormat="false" ht="15" hidden="false" customHeight="false" outlineLevel="0" collapsed="false">
      <c r="A375" s="15" t="n">
        <v>374</v>
      </c>
      <c r="B375" s="15" t="n">
        <v>33</v>
      </c>
      <c r="C375" s="16" t="s">
        <v>159</v>
      </c>
      <c r="D375" s="17" t="s">
        <v>555</v>
      </c>
      <c r="E375" s="15" t="s">
        <v>185</v>
      </c>
      <c r="F375" s="15" t="s">
        <v>58</v>
      </c>
      <c r="G375" s="15" t="s">
        <v>14</v>
      </c>
      <c r="H375" s="18"/>
      <c r="I375" s="15"/>
      <c r="J375" s="15" t="n">
        <v>0</v>
      </c>
      <c r="K375" s="18" t="str">
        <f aca="false">IF(J375&gt;=5,"Done",IF(H375="","",H375+CHOOSE(J375+1,1,3,7,21,60)))</f>
        <v/>
      </c>
      <c r="L375" s="16"/>
    </row>
    <row r="376" customFormat="false" ht="15" hidden="false" customHeight="false" outlineLevel="0" collapsed="false">
      <c r="A376" s="15" t="n">
        <v>375</v>
      </c>
      <c r="B376" s="15" t="n">
        <v>33</v>
      </c>
      <c r="C376" s="16" t="s">
        <v>159</v>
      </c>
      <c r="D376" s="17" t="s">
        <v>556</v>
      </c>
      <c r="E376" s="15" t="s">
        <v>185</v>
      </c>
      <c r="F376" s="15" t="s">
        <v>58</v>
      </c>
      <c r="G376" s="15" t="s">
        <v>14</v>
      </c>
      <c r="H376" s="18"/>
      <c r="I376" s="15"/>
      <c r="J376" s="15" t="n">
        <v>0</v>
      </c>
      <c r="K376" s="18" t="str">
        <f aca="false">IF(J376&gt;=5,"Done",IF(H376="","",H376+CHOOSE(J376+1,1,3,7,21,60)))</f>
        <v/>
      </c>
      <c r="L376" s="16"/>
    </row>
    <row r="377" customFormat="false" ht="15" hidden="false" customHeight="false" outlineLevel="0" collapsed="false">
      <c r="A377" s="15" t="n">
        <v>376</v>
      </c>
      <c r="B377" s="15" t="n">
        <v>33</v>
      </c>
      <c r="C377" s="16" t="s">
        <v>159</v>
      </c>
      <c r="D377" s="17" t="s">
        <v>557</v>
      </c>
      <c r="E377" s="15" t="s">
        <v>185</v>
      </c>
      <c r="F377" s="15" t="s">
        <v>58</v>
      </c>
      <c r="G377" s="15" t="s">
        <v>14</v>
      </c>
      <c r="H377" s="18"/>
      <c r="I377" s="15"/>
      <c r="J377" s="15" t="n">
        <v>0</v>
      </c>
      <c r="K377" s="18" t="str">
        <f aca="false">IF(J377&gt;=5,"Done",IF(H377="","",H377+CHOOSE(J377+1,1,3,7,21,60)))</f>
        <v/>
      </c>
      <c r="L377" s="16"/>
    </row>
    <row r="378" customFormat="false" ht="15" hidden="false" customHeight="false" outlineLevel="0" collapsed="false">
      <c r="A378" s="15" t="n">
        <v>377</v>
      </c>
      <c r="B378" s="15" t="n">
        <v>33</v>
      </c>
      <c r="C378" s="16" t="s">
        <v>159</v>
      </c>
      <c r="D378" s="17" t="s">
        <v>558</v>
      </c>
      <c r="E378" s="15" t="s">
        <v>185</v>
      </c>
      <c r="F378" s="15" t="s">
        <v>58</v>
      </c>
      <c r="G378" s="15" t="s">
        <v>14</v>
      </c>
      <c r="H378" s="18"/>
      <c r="I378" s="15"/>
      <c r="J378" s="15" t="n">
        <v>0</v>
      </c>
      <c r="K378" s="18" t="str">
        <f aca="false">IF(J378&gt;=5,"Done",IF(H378="","",H378+CHOOSE(J378+1,1,3,7,21,60)))</f>
        <v/>
      </c>
      <c r="L378" s="16"/>
    </row>
    <row r="379" customFormat="false" ht="15" hidden="false" customHeight="false" outlineLevel="0" collapsed="false">
      <c r="A379" s="15" t="n">
        <v>378</v>
      </c>
      <c r="B379" s="15" t="n">
        <v>33</v>
      </c>
      <c r="C379" s="16" t="s">
        <v>159</v>
      </c>
      <c r="D379" s="17" t="s">
        <v>559</v>
      </c>
      <c r="E379" s="15" t="s">
        <v>185</v>
      </c>
      <c r="F379" s="15" t="s">
        <v>58</v>
      </c>
      <c r="G379" s="15" t="s">
        <v>14</v>
      </c>
      <c r="H379" s="18"/>
      <c r="I379" s="15"/>
      <c r="J379" s="15" t="n">
        <v>0</v>
      </c>
      <c r="K379" s="18" t="str">
        <f aca="false">IF(J379&gt;=5,"Done",IF(H379="","",H379+CHOOSE(J379+1,1,3,7,21,60)))</f>
        <v/>
      </c>
      <c r="L379" s="16"/>
    </row>
    <row r="380" customFormat="false" ht="15" hidden="false" customHeight="false" outlineLevel="0" collapsed="false">
      <c r="A380" s="15" t="n">
        <v>379</v>
      </c>
      <c r="B380" s="15" t="n">
        <v>33</v>
      </c>
      <c r="C380" s="16" t="s">
        <v>159</v>
      </c>
      <c r="D380" s="17" t="s">
        <v>560</v>
      </c>
      <c r="E380" s="15" t="s">
        <v>185</v>
      </c>
      <c r="F380" s="15" t="s">
        <v>58</v>
      </c>
      <c r="G380" s="15" t="s">
        <v>14</v>
      </c>
      <c r="H380" s="18"/>
      <c r="I380" s="15"/>
      <c r="J380" s="15" t="n">
        <v>0</v>
      </c>
      <c r="K380" s="18" t="str">
        <f aca="false">IF(J380&gt;=5,"Done",IF(H380="","",H380+CHOOSE(J380+1,1,3,7,21,60)))</f>
        <v/>
      </c>
      <c r="L380" s="16"/>
    </row>
    <row r="381" customFormat="false" ht="15" hidden="false" customHeight="false" outlineLevel="0" collapsed="false">
      <c r="A381" s="15" t="n">
        <v>380</v>
      </c>
      <c r="B381" s="15" t="n">
        <v>34</v>
      </c>
      <c r="C381" s="16" t="s">
        <v>161</v>
      </c>
      <c r="D381" s="17" t="s">
        <v>561</v>
      </c>
      <c r="E381" s="15" t="s">
        <v>185</v>
      </c>
      <c r="F381" s="15" t="s">
        <v>58</v>
      </c>
      <c r="G381" s="15" t="s">
        <v>14</v>
      </c>
      <c r="H381" s="18"/>
      <c r="I381" s="15"/>
      <c r="J381" s="15" t="n">
        <v>0</v>
      </c>
      <c r="K381" s="18" t="str">
        <f aca="false">IF(J381&gt;=5,"Done",IF(H381="","",H381+CHOOSE(J381+1,1,3,7,21,60)))</f>
        <v/>
      </c>
      <c r="L381" s="16"/>
    </row>
    <row r="382" customFormat="false" ht="15" hidden="false" customHeight="false" outlineLevel="0" collapsed="false">
      <c r="A382" s="15" t="n">
        <v>381</v>
      </c>
      <c r="B382" s="15" t="n">
        <v>34</v>
      </c>
      <c r="C382" s="16" t="s">
        <v>161</v>
      </c>
      <c r="D382" s="17" t="s">
        <v>562</v>
      </c>
      <c r="E382" s="15" t="s">
        <v>185</v>
      </c>
      <c r="F382" s="15" t="s">
        <v>58</v>
      </c>
      <c r="G382" s="15" t="s">
        <v>14</v>
      </c>
      <c r="H382" s="18"/>
      <c r="I382" s="15"/>
      <c r="J382" s="15" t="n">
        <v>0</v>
      </c>
      <c r="K382" s="18" t="str">
        <f aca="false">IF(J382&gt;=5,"Done",IF(H382="","",H382+CHOOSE(J382+1,1,3,7,21,60)))</f>
        <v/>
      </c>
      <c r="L382" s="16"/>
    </row>
    <row r="383" customFormat="false" ht="15" hidden="false" customHeight="false" outlineLevel="0" collapsed="false">
      <c r="A383" s="15" t="n">
        <v>382</v>
      </c>
      <c r="B383" s="15" t="n">
        <v>34</v>
      </c>
      <c r="C383" s="16" t="s">
        <v>161</v>
      </c>
      <c r="D383" s="17" t="s">
        <v>563</v>
      </c>
      <c r="E383" s="15" t="s">
        <v>198</v>
      </c>
      <c r="F383" s="15" t="s">
        <v>58</v>
      </c>
      <c r="G383" s="15" t="s">
        <v>14</v>
      </c>
      <c r="H383" s="18"/>
      <c r="I383" s="15"/>
      <c r="J383" s="15" t="n">
        <v>0</v>
      </c>
      <c r="K383" s="18" t="str">
        <f aca="false">IF(J383&gt;=5,"Done",IF(H383="","",H383+CHOOSE(J383+1,1,3,7,21,60)))</f>
        <v/>
      </c>
      <c r="L383" s="16"/>
    </row>
    <row r="384" customFormat="false" ht="15" hidden="false" customHeight="false" outlineLevel="0" collapsed="false">
      <c r="A384" s="15" t="n">
        <v>383</v>
      </c>
      <c r="B384" s="15" t="n">
        <v>34</v>
      </c>
      <c r="C384" s="16" t="s">
        <v>161</v>
      </c>
      <c r="D384" s="17" t="s">
        <v>564</v>
      </c>
      <c r="E384" s="15" t="s">
        <v>198</v>
      </c>
      <c r="F384" s="15" t="s">
        <v>58</v>
      </c>
      <c r="G384" s="15" t="s">
        <v>14</v>
      </c>
      <c r="H384" s="18"/>
      <c r="I384" s="15"/>
      <c r="J384" s="15" t="n">
        <v>0</v>
      </c>
      <c r="K384" s="18" t="str">
        <f aca="false">IF(J384&gt;=5,"Done",IF(H384="","",H384+CHOOSE(J384+1,1,3,7,21,60)))</f>
        <v/>
      </c>
      <c r="L384" s="16"/>
    </row>
    <row r="385" customFormat="false" ht="15" hidden="false" customHeight="false" outlineLevel="0" collapsed="false">
      <c r="A385" s="15" t="n">
        <v>384</v>
      </c>
      <c r="B385" s="15" t="n">
        <v>34</v>
      </c>
      <c r="C385" s="16" t="s">
        <v>161</v>
      </c>
      <c r="D385" s="17" t="s">
        <v>565</v>
      </c>
      <c r="E385" s="15" t="s">
        <v>198</v>
      </c>
      <c r="F385" s="15" t="s">
        <v>58</v>
      </c>
      <c r="G385" s="15" t="s">
        <v>14</v>
      </c>
      <c r="H385" s="18"/>
      <c r="I385" s="15"/>
      <c r="J385" s="15" t="n">
        <v>0</v>
      </c>
      <c r="K385" s="18" t="str">
        <f aca="false">IF(J385&gt;=5,"Done",IF(H385="","",H385+CHOOSE(J385+1,1,3,7,21,60)))</f>
        <v/>
      </c>
      <c r="L385" s="16"/>
    </row>
    <row r="386" customFormat="false" ht="15" hidden="false" customHeight="false" outlineLevel="0" collapsed="false">
      <c r="A386" s="15" t="n">
        <v>385</v>
      </c>
      <c r="B386" s="15" t="n">
        <v>34</v>
      </c>
      <c r="C386" s="16" t="s">
        <v>161</v>
      </c>
      <c r="D386" s="17" t="s">
        <v>566</v>
      </c>
      <c r="E386" s="15" t="s">
        <v>185</v>
      </c>
      <c r="F386" s="15" t="s">
        <v>58</v>
      </c>
      <c r="G386" s="15" t="s">
        <v>14</v>
      </c>
      <c r="H386" s="18"/>
      <c r="I386" s="15"/>
      <c r="J386" s="15" t="n">
        <v>0</v>
      </c>
      <c r="K386" s="18" t="str">
        <f aca="false">IF(J386&gt;=5,"Done",IF(H386="","",H386+CHOOSE(J386+1,1,3,7,21,60)))</f>
        <v/>
      </c>
      <c r="L386" s="16"/>
    </row>
    <row r="387" customFormat="false" ht="15" hidden="false" customHeight="false" outlineLevel="0" collapsed="false">
      <c r="A387" s="15" t="n">
        <v>386</v>
      </c>
      <c r="B387" s="15" t="n">
        <v>34</v>
      </c>
      <c r="C387" s="16" t="s">
        <v>161</v>
      </c>
      <c r="D387" s="17" t="s">
        <v>567</v>
      </c>
      <c r="E387" s="15" t="s">
        <v>185</v>
      </c>
      <c r="F387" s="15" t="s">
        <v>58</v>
      </c>
      <c r="G387" s="15" t="s">
        <v>14</v>
      </c>
      <c r="H387" s="18"/>
      <c r="I387" s="15"/>
      <c r="J387" s="15" t="n">
        <v>0</v>
      </c>
      <c r="K387" s="18" t="str">
        <f aca="false">IF(J387&gt;=5,"Done",IF(H387="","",H387+CHOOSE(J387+1,1,3,7,21,60)))</f>
        <v/>
      </c>
      <c r="L387" s="16"/>
    </row>
    <row r="388" customFormat="false" ht="15" hidden="false" customHeight="false" outlineLevel="0" collapsed="false">
      <c r="A388" s="15" t="n">
        <v>387</v>
      </c>
      <c r="B388" s="15" t="n">
        <v>34</v>
      </c>
      <c r="C388" s="16" t="s">
        <v>161</v>
      </c>
      <c r="D388" s="17" t="s">
        <v>568</v>
      </c>
      <c r="E388" s="15" t="s">
        <v>185</v>
      </c>
      <c r="F388" s="15" t="s">
        <v>58</v>
      </c>
      <c r="G388" s="15" t="s">
        <v>14</v>
      </c>
      <c r="H388" s="18"/>
      <c r="I388" s="15"/>
      <c r="J388" s="15" t="n">
        <v>0</v>
      </c>
      <c r="K388" s="18" t="str">
        <f aca="false">IF(J388&gt;=5,"Done",IF(H388="","",H388+CHOOSE(J388+1,1,3,7,21,60)))</f>
        <v/>
      </c>
      <c r="L388" s="16"/>
    </row>
    <row r="389" customFormat="false" ht="15" hidden="false" customHeight="false" outlineLevel="0" collapsed="false">
      <c r="A389" s="15" t="n">
        <v>388</v>
      </c>
      <c r="B389" s="15" t="n">
        <v>34</v>
      </c>
      <c r="C389" s="16" t="s">
        <v>161</v>
      </c>
      <c r="D389" s="17" t="s">
        <v>569</v>
      </c>
      <c r="E389" s="15" t="s">
        <v>185</v>
      </c>
      <c r="F389" s="15" t="s">
        <v>58</v>
      </c>
      <c r="G389" s="15" t="s">
        <v>14</v>
      </c>
      <c r="H389" s="18"/>
      <c r="I389" s="15"/>
      <c r="J389" s="15" t="n">
        <v>0</v>
      </c>
      <c r="K389" s="18" t="str">
        <f aca="false">IF(J389&gt;=5,"Done",IF(H389="","",H389+CHOOSE(J389+1,1,3,7,21,60)))</f>
        <v/>
      </c>
      <c r="L389" s="16"/>
    </row>
    <row r="390" customFormat="false" ht="15" hidden="false" customHeight="false" outlineLevel="0" collapsed="false">
      <c r="A390" s="15" t="n">
        <v>389</v>
      </c>
      <c r="B390" s="15" t="n">
        <v>34</v>
      </c>
      <c r="C390" s="16" t="s">
        <v>161</v>
      </c>
      <c r="D390" s="17" t="s">
        <v>570</v>
      </c>
      <c r="E390" s="15" t="s">
        <v>185</v>
      </c>
      <c r="F390" s="15" t="s">
        <v>56</v>
      </c>
      <c r="G390" s="15" t="s">
        <v>14</v>
      </c>
      <c r="H390" s="18"/>
      <c r="I390" s="15"/>
      <c r="J390" s="15" t="n">
        <v>0</v>
      </c>
      <c r="K390" s="18" t="str">
        <f aca="false">IF(J390&gt;=5,"Done",IF(H390="","",H390+CHOOSE(J390+1,1,3,7,21,60)))</f>
        <v/>
      </c>
      <c r="L390" s="16"/>
    </row>
    <row r="391" customFormat="false" ht="15" hidden="false" customHeight="false" outlineLevel="0" collapsed="false">
      <c r="A391" s="15" t="n">
        <v>390</v>
      </c>
      <c r="B391" s="15" t="n">
        <v>35</v>
      </c>
      <c r="C391" s="16" t="s">
        <v>162</v>
      </c>
      <c r="D391" s="17" t="s">
        <v>571</v>
      </c>
      <c r="E391" s="15" t="s">
        <v>198</v>
      </c>
      <c r="F391" s="15" t="s">
        <v>58</v>
      </c>
      <c r="G391" s="15" t="s">
        <v>14</v>
      </c>
      <c r="H391" s="18"/>
      <c r="I391" s="15"/>
      <c r="J391" s="15" t="n">
        <v>0</v>
      </c>
      <c r="K391" s="18" t="str">
        <f aca="false">IF(J391&gt;=5,"Done",IF(H391="","",H391+CHOOSE(J391+1,1,3,7,21,60)))</f>
        <v/>
      </c>
      <c r="L391" s="16"/>
    </row>
    <row r="392" customFormat="false" ht="15" hidden="false" customHeight="false" outlineLevel="0" collapsed="false">
      <c r="A392" s="15" t="n">
        <v>391</v>
      </c>
      <c r="B392" s="15" t="n">
        <v>35</v>
      </c>
      <c r="C392" s="16" t="s">
        <v>162</v>
      </c>
      <c r="D392" s="17" t="s">
        <v>572</v>
      </c>
      <c r="E392" s="15" t="s">
        <v>198</v>
      </c>
      <c r="F392" s="15" t="s">
        <v>58</v>
      </c>
      <c r="G392" s="15" t="s">
        <v>14</v>
      </c>
      <c r="H392" s="18"/>
      <c r="I392" s="15"/>
      <c r="J392" s="15" t="n">
        <v>0</v>
      </c>
      <c r="K392" s="18" t="str">
        <f aca="false">IF(J392&gt;=5,"Done",IF(H392="","",H392+CHOOSE(J392+1,1,3,7,21,60)))</f>
        <v/>
      </c>
      <c r="L392" s="16"/>
    </row>
    <row r="393" customFormat="false" ht="15" hidden="false" customHeight="false" outlineLevel="0" collapsed="false">
      <c r="A393" s="15" t="n">
        <v>392</v>
      </c>
      <c r="B393" s="15" t="n">
        <v>35</v>
      </c>
      <c r="C393" s="16" t="s">
        <v>162</v>
      </c>
      <c r="D393" s="17" t="s">
        <v>573</v>
      </c>
      <c r="E393" s="15" t="s">
        <v>185</v>
      </c>
      <c r="F393" s="15" t="s">
        <v>58</v>
      </c>
      <c r="G393" s="15" t="s">
        <v>14</v>
      </c>
      <c r="H393" s="18"/>
      <c r="I393" s="15"/>
      <c r="J393" s="15" t="n">
        <v>0</v>
      </c>
      <c r="K393" s="18" t="str">
        <f aca="false">IF(J393&gt;=5,"Done",IF(H393="","",H393+CHOOSE(J393+1,1,3,7,21,60)))</f>
        <v/>
      </c>
      <c r="L393" s="16"/>
    </row>
    <row r="394" customFormat="false" ht="15" hidden="false" customHeight="false" outlineLevel="0" collapsed="false">
      <c r="A394" s="15" t="n">
        <v>393</v>
      </c>
      <c r="B394" s="15" t="n">
        <v>35</v>
      </c>
      <c r="C394" s="16" t="s">
        <v>162</v>
      </c>
      <c r="D394" s="17" t="s">
        <v>574</v>
      </c>
      <c r="E394" s="15" t="s">
        <v>198</v>
      </c>
      <c r="F394" s="15" t="s">
        <v>58</v>
      </c>
      <c r="G394" s="15" t="s">
        <v>14</v>
      </c>
      <c r="H394" s="18"/>
      <c r="I394" s="15"/>
      <c r="J394" s="15" t="n">
        <v>0</v>
      </c>
      <c r="K394" s="18" t="str">
        <f aca="false">IF(J394&gt;=5,"Done",IF(H394="","",H394+CHOOSE(J394+1,1,3,7,21,60)))</f>
        <v/>
      </c>
      <c r="L394" s="16"/>
    </row>
    <row r="395" customFormat="false" ht="15" hidden="false" customHeight="false" outlineLevel="0" collapsed="false">
      <c r="A395" s="15" t="n">
        <v>394</v>
      </c>
      <c r="B395" s="15" t="n">
        <v>35</v>
      </c>
      <c r="C395" s="16" t="s">
        <v>162</v>
      </c>
      <c r="D395" s="17" t="s">
        <v>575</v>
      </c>
      <c r="E395" s="15" t="s">
        <v>198</v>
      </c>
      <c r="F395" s="15" t="s">
        <v>58</v>
      </c>
      <c r="G395" s="15" t="s">
        <v>14</v>
      </c>
      <c r="H395" s="18"/>
      <c r="I395" s="15"/>
      <c r="J395" s="15" t="n">
        <v>0</v>
      </c>
      <c r="K395" s="18" t="str">
        <f aca="false">IF(J395&gt;=5,"Done",IF(H395="","",H395+CHOOSE(J395+1,1,3,7,21,60)))</f>
        <v/>
      </c>
      <c r="L395" s="16"/>
    </row>
  </sheetData>
  <autoFilter ref="A1:L395"/>
  <conditionalFormatting sqref="G2:G395">
    <cfRule type="expression" priority="2" aboveAverage="0" equalAverage="0" bottom="0" percent="0" rank="0" text="" dxfId="6">
      <formula>$G2="Mastered"</formula>
    </cfRule>
    <cfRule type="expression" priority="3" aboveAverage="0" equalAverage="0" bottom="0" percent="0" rank="0" text="" dxfId="7">
      <formula>$G2="Solved"</formula>
    </cfRule>
    <cfRule type="expression" priority="4" aboveAverage="0" equalAverage="0" bottom="0" percent="0" rank="0" text="" dxfId="8">
      <formula>$G2="Hint-solved"</formula>
    </cfRule>
  </conditionalFormatting>
  <conditionalFormatting sqref="K2:K395">
    <cfRule type="expression" priority="5" aboveAverage="0" equalAverage="0" bottom="0" percent="0" rank="0" text="" dxfId="9">
      <formula>AND(ISNUMBER($K2),$K2&lt;=TODAY())</formula>
    </cfRule>
  </conditionalFormatting>
  <conditionalFormatting sqref="E2:E395">
    <cfRule type="expression" priority="6" aboveAverage="0" equalAverage="0" bottom="0" percent="0" rank="0" text="" dxfId="10">
      <formula>$E2="Hard"</formula>
    </cfRule>
  </conditionalFormatting>
  <dataValidations count="2">
    <dataValidation allowBlank="false" errorStyle="stop" operator="between" showDropDown="false" showErrorMessage="false" showInputMessage="false" sqref="G2:G395" type="list">
      <formula1>"Todo,Hint-solved,Solved,Mastered"</formula1>
      <formula2>0</formula2>
    </dataValidation>
    <dataValidation allowBlank="false" errorStyle="stop" operator="between" showDropDown="false" showErrorMessage="false" showInputMessage="false" sqref="J2:J395" type="whole">
      <formula1>0</formula1>
      <formula2>5</formula2>
    </dataValidation>
  </dataValidations>
  <hyperlinks>
    <hyperlink ref="D2" r:id="rId1" display="Two Sum"/>
    <hyperlink ref="D3" r:id="rId2" display="Contains Duplicate"/>
    <hyperlink ref="D4" r:id="rId3" display="Valid Anagram"/>
    <hyperlink ref="D5" r:id="rId4" display="Group Anagrams"/>
    <hyperlink ref="D6" r:id="rId5" display="Top K Frequent Elements"/>
    <hyperlink ref="D7" r:id="rId6" display="Product of Array Except Self"/>
    <hyperlink ref="D8" r:id="rId7" display="Longest Consecutive Sequence"/>
    <hyperlink ref="D9" r:id="rId8" display="Subarray Sum Equals K"/>
    <hyperlink ref="D10" r:id="rId9" display="Majority Element"/>
    <hyperlink ref="D11" r:id="rId10" display="Sort Colors"/>
    <hyperlink ref="D12" r:id="rId11" display="Next Permutation"/>
    <hyperlink ref="D13" r:id="rId12" display="Valid Palindrome"/>
    <hyperlink ref="D14" r:id="rId13" display="Two Sum II Input Array Is Sorted"/>
    <hyperlink ref="D15" r:id="rId14" display="3sum"/>
    <hyperlink ref="D16" r:id="rId15" display="Container with Most Water"/>
    <hyperlink ref="D17" r:id="rId16" display="Trapping Rain Water"/>
    <hyperlink ref="D18" r:id="rId17" display="Best Time to Buy and Sell Stock"/>
    <hyperlink ref="D19" r:id="rId18" display="Longest Substring Without Repeating Characters"/>
    <hyperlink ref="D20" r:id="rId19" display="Longest Repeating Character Replacement"/>
    <hyperlink ref="D21" r:id="rId20" display="Permutation in String"/>
    <hyperlink ref="D22" r:id="rId21" display="Minimum Window Substring"/>
    <hyperlink ref="D23" r:id="rId22" display="Sliding Window Maximum"/>
    <hyperlink ref="D24" r:id="rId23" display="Minimum Size Subarray Sum"/>
    <hyperlink ref="D25" r:id="rId24" display="Max Consecutive Ones III"/>
    <hyperlink ref="D26" r:id="rId25" display="Fruit Into Baskets"/>
    <hyperlink ref="D27" r:id="rId26" display="Find All Anagrams in a String"/>
    <hyperlink ref="D28" r:id="rId27" display="Maximum Subarray"/>
    <hyperlink ref="D29" r:id="rId28" display="Range Sum Query Immutable"/>
    <hyperlink ref="D30" r:id="rId29" display="Contiguous Array"/>
    <hyperlink ref="D31" r:id="rId30" display="Continuous Subarray Sum"/>
    <hyperlink ref="D32" r:id="rId31" display="Maximum Product Subarray"/>
    <hyperlink ref="D33" r:id="rId32" display="4sum"/>
    <hyperlink ref="D34" r:id="rId33" display="Merge Intervals"/>
    <hyperlink ref="D35" r:id="rId34" display="Insert Interval"/>
    <hyperlink ref="D36" r:id="rId35" display="Non Overlapping Intervals"/>
    <hyperlink ref="D37" r:id="rId36" display="Minimum Number of Arrows to Burst Balloons"/>
    <hyperlink ref="D38" r:id="rId37" display="Set Matrix Zeroes"/>
    <hyperlink ref="D39" r:id="rId38" display="Rotate Image"/>
    <hyperlink ref="D40" r:id="rId39" display="Spiral Matrix"/>
    <hyperlink ref="D41" r:id="rId40" display="Rotate Array"/>
    <hyperlink ref="D42" r:id="rId41" display="First Missing Positive"/>
    <hyperlink ref="D43" r:id="rId42" display="Find the Duplicate Number"/>
    <hyperlink ref="D44" r:id="rId43" display="Valid Parentheses"/>
    <hyperlink ref="D45" r:id="rId44" display="Min Stack"/>
    <hyperlink ref="D46" r:id="rId45" display="Evaluate Reverse Polish Notation"/>
    <hyperlink ref="D47" r:id="rId46" display="Daily Temperatures"/>
    <hyperlink ref="D48" r:id="rId47" display="Next Greater Element I"/>
    <hyperlink ref="D49" r:id="rId48" display="Car Fleet"/>
    <hyperlink ref="D50" r:id="rId49" display="Largest Rectangle in Histogram"/>
    <hyperlink ref="D51" r:id="rId50" display="Decode String"/>
    <hyperlink ref="D52" r:id="rId51" display="Asteroid Collision"/>
    <hyperlink ref="D53" r:id="rId52" display="Online Stock Span"/>
    <hyperlink ref="D54" r:id="rId53" display="Remove K Digits"/>
    <hyperlink ref="D55" r:id="rId54" display="Sum of Subarray Minimums"/>
    <hyperlink ref="D56" r:id="rId55" display="Basic Calculator II"/>
    <hyperlink ref="D57" r:id="rId56" display="Binary Search"/>
    <hyperlink ref="D58" r:id="rId57" display="Search Insert Position"/>
    <hyperlink ref="D59" r:id="rId58" display="Search a 2D Matrix"/>
    <hyperlink ref="D60" r:id="rId59" display="Koko Eating Bananas"/>
    <hyperlink ref="D61" r:id="rId60" display="Find Minimum in Rotated Sorted Array"/>
    <hyperlink ref="D62" r:id="rId61" display="Search in Rotated Sorted Array"/>
    <hyperlink ref="D63" r:id="rId62" display="Find First and Last Position of Element in Sorted Array"/>
    <hyperlink ref="D64" r:id="rId63" display="Capacity to Ship Packages Within D Days"/>
    <hyperlink ref="D65" r:id="rId64" display="Split Array Largest Sum"/>
    <hyperlink ref="D66" r:id="rId65" display="Find Peak Element"/>
    <hyperlink ref="D67" r:id="rId66" display="Single Element in a Sorted Array"/>
    <hyperlink ref="D68" r:id="rId67" display="Median of Two Sorted Arrays"/>
    <hyperlink ref="D69" r:id="rId68" display="Time Based Key Value Store"/>
    <hyperlink ref="D70" r:id="rId69" display="Magnetic Force Between Two Balls"/>
    <hyperlink ref="D71" r:id="rId70" display="Minimum Number of Days to Make M Bouquets"/>
    <hyperlink ref="D72" r:id="rId71" display="Reverse Linked List"/>
    <hyperlink ref="D73" r:id="rId72" display="Merge Two Sorted Lists"/>
    <hyperlink ref="D74" r:id="rId73" display="Linked List Cycle"/>
    <hyperlink ref="D75" r:id="rId74" display="Linked List Cycle II"/>
    <hyperlink ref="D76" r:id="rId75" display="Middle of the Linked List"/>
    <hyperlink ref="D77" r:id="rId76" display="Palindrome Linked List"/>
    <hyperlink ref="D78" r:id="rId77" display="Reorder List"/>
    <hyperlink ref="D79" r:id="rId78" display="Remove Nth Node from End of List"/>
    <hyperlink ref="D80" r:id="rId79" display="Add Two Numbers"/>
    <hyperlink ref="D81" r:id="rId80" display="Intersection of Two Linked Lists"/>
    <hyperlink ref="D82" r:id="rId81" display="Sort List"/>
    <hyperlink ref="D83" r:id="rId82" display="Copy List with Random Pointer"/>
    <hyperlink ref="D84" r:id="rId83" display="Merge K Sorted Lists"/>
    <hyperlink ref="D85" r:id="rId84" display="Reverse Nodes in K Group"/>
    <hyperlink ref="D86" r:id="rId85" display="Lru Cache"/>
    <hyperlink ref="D87" r:id="rId86" display="Invert Binary Tree"/>
    <hyperlink ref="D88" r:id="rId87" display="Maximum Depth of Binary Tree"/>
    <hyperlink ref="D89" r:id="rId88" display="Same Tree"/>
    <hyperlink ref="D90" r:id="rId89" display="Subtree of Another Tree"/>
    <hyperlink ref="D91" r:id="rId90" display="Symmetric Tree"/>
    <hyperlink ref="D92" r:id="rId91" display="Diameter of Binary Tree"/>
    <hyperlink ref="D93" r:id="rId92" display="Balanced Binary Tree"/>
    <hyperlink ref="D94" r:id="rId93" display="Binary Tree Inorder Traversal"/>
    <hyperlink ref="D95" r:id="rId94" display="Binary Tree Preorder Traversal"/>
    <hyperlink ref="D96" r:id="rId95" display="Binary Tree Postorder Traversal"/>
    <hyperlink ref="D97" r:id="rId96" display="Path Sum"/>
    <hyperlink ref="D98" r:id="rId97" display="Path Sum II"/>
    <hyperlink ref="D99" r:id="rId98" display="Path Sum III"/>
    <hyperlink ref="D100" r:id="rId99" display="Sum Root to Leaf Numbers"/>
    <hyperlink ref="D101" r:id="rId100" display="Count Good Nodes in Binary Tree"/>
    <hyperlink ref="D102" r:id="rId101" display="Binary Tree Level Order Traversal"/>
    <hyperlink ref="D103" r:id="rId102" display="Binary Tree Right Side View"/>
    <hyperlink ref="D104" r:id="rId103" display="Binary Tree Zigzag Level Order Traversal"/>
    <hyperlink ref="D105" r:id="rId104" display="Lowest Common Ancestor of a Binary Tree"/>
    <hyperlink ref="D106" r:id="rId105" display="Construct Binary Tree from Preorder and Inorder Traversal"/>
    <hyperlink ref="D107" r:id="rId106" display="Flatten Binary Tree to Linked List"/>
    <hyperlink ref="D108" r:id="rId107" display="All Nodes Distance K in Binary Tree"/>
    <hyperlink ref="D109" r:id="rId108" display="Maximum Width of Binary Tree"/>
    <hyperlink ref="D110" r:id="rId109" display="Serialize and Deserialize Binary Tree"/>
    <hyperlink ref="D111" r:id="rId110" display="Binary Tree Maximum Path Sum"/>
    <hyperlink ref="D112" r:id="rId111" display="House Robber III"/>
    <hyperlink ref="D113" r:id="rId112" display="Vertical Order Traversal of a Binary Tree"/>
    <hyperlink ref="D114" r:id="rId113" display="Validate Binary Search Tree"/>
    <hyperlink ref="D115" r:id="rId114" display="Kth Smallest Element in a Bst"/>
    <hyperlink ref="D116" r:id="rId115" display="Lowest Common Ancestor of a Binary Search Tree"/>
    <hyperlink ref="D117" r:id="rId116" display="Convert Sorted Array to Binary Search Tree"/>
    <hyperlink ref="D118" r:id="rId117" display="Delete Node in a Bst"/>
    <hyperlink ref="D119" r:id="rId118" display="Recover Binary Search Tree"/>
    <hyperlink ref="D120" r:id="rId119" display="Implement Trie Prefix Tree"/>
    <hyperlink ref="D121" r:id="rId120" display="Design Add and Search Words Data Structure"/>
    <hyperlink ref="D122" r:id="rId121" display="Word Search II"/>
    <hyperlink ref="D123" r:id="rId122" display="Replace Words"/>
    <hyperlink ref="D124" r:id="rId123" display="Search Suggestions System"/>
    <hyperlink ref="D125" r:id="rId124" display="Maximum Xor of Two Numbers in an Array"/>
    <hyperlink ref="D126" r:id="rId125" display="Kth Largest Element in an Array"/>
    <hyperlink ref="D127" r:id="rId126" display="Last Stone Weight"/>
    <hyperlink ref="D128" r:id="rId127" display="K Closest Points to Origin"/>
    <hyperlink ref="D129" r:id="rId128" display="Task Scheduler"/>
    <hyperlink ref="D130" r:id="rId129" display="Find Median from Data Stream"/>
    <hyperlink ref="D131" r:id="rId130" display="Reorganize String"/>
    <hyperlink ref="D132" r:id="rId131" display="Top K Frequent Words"/>
    <hyperlink ref="D133" r:id="rId132" display="Kth Largest Element in a Stream"/>
    <hyperlink ref="D134" r:id="rId133" display="Design Twitter"/>
    <hyperlink ref="D135" r:id="rId134" display="Find K Pairs with Smallest Sums"/>
    <hyperlink ref="D136" r:id="rId135" display="Ipo"/>
    <hyperlink ref="D137" r:id="rId136" display="Sliding Window Median"/>
    <hyperlink ref="D138" r:id="rId137" display="Smallest Range Covering Elements from K Lists"/>
    <hyperlink ref="D139" r:id="rId138" display="Subsets"/>
    <hyperlink ref="D140" r:id="rId139" display="Subsets II"/>
    <hyperlink ref="D141" r:id="rId140" display="Permutations"/>
    <hyperlink ref="D142" r:id="rId141" display="Permutations II"/>
    <hyperlink ref="D143" r:id="rId142" display="Combination Sum"/>
    <hyperlink ref="D144" r:id="rId143" display="Combination Sum II"/>
    <hyperlink ref="D145" r:id="rId144" display="Combinations"/>
    <hyperlink ref="D146" r:id="rId145" display="Letter Combinations of a Phone Number"/>
    <hyperlink ref="D147" r:id="rId146" display="Generate Parentheses"/>
    <hyperlink ref="D148" r:id="rId147" display="Palindrome Partitioning"/>
    <hyperlink ref="D149" r:id="rId148" display="Word Search"/>
    <hyperlink ref="D150" r:id="rId149" display="Restore Ip Addresses"/>
    <hyperlink ref="D151" r:id="rId150" display="N Queens"/>
    <hyperlink ref="D152" r:id="rId151" display="Sudoku Solver"/>
    <hyperlink ref="D153" r:id="rId152" display="Partition to K Equal Sum Subsets"/>
    <hyperlink ref="D154" r:id="rId153" display="Matchsticks to Square"/>
    <hyperlink ref="D155" r:id="rId154" display="Combination Sum III"/>
    <hyperlink ref="D156" r:id="rId155" display="Expression Add Operators"/>
    <hyperlink ref="D157" r:id="rId156" display="Beautiful Arrangement"/>
    <hyperlink ref="D158" r:id="rId157" display="Gray Code"/>
    <hyperlink ref="D159" r:id="rId158" display="Unique Paths III"/>
    <hyperlink ref="D160" r:id="rId159" display="Number of Islands"/>
    <hyperlink ref="D161" r:id="rId160" display="Max Area of Island"/>
    <hyperlink ref="D162" r:id="rId161" display="Clone Graph"/>
    <hyperlink ref="D163" r:id="rId162" display="Pacific Atlantic Water Flow"/>
    <hyperlink ref="D164" r:id="rId163" display="Surrounded Regions"/>
    <hyperlink ref="D165" r:id="rId164" display="Rotting Oranges"/>
    <hyperlink ref="D166" r:id="rId165" display="01 Matrix"/>
    <hyperlink ref="D167" r:id="rId166" display="Number of Enclaves"/>
    <hyperlink ref="D168" r:id="rId167" display="Shortest Path in Binary Matrix"/>
    <hyperlink ref="D169" r:id="rId168" display="Open the Lock"/>
    <hyperlink ref="D170" r:id="rId169" display="Word Ladder"/>
    <hyperlink ref="D171" r:id="rId170" display="Shortest Bridge"/>
    <hyperlink ref="D172" r:id="rId171" display="Number of Provinces"/>
    <hyperlink ref="D173" r:id="rId172" display="Is Graph Bipartite"/>
    <hyperlink ref="D174" r:id="rId173" display="Course Schedule"/>
    <hyperlink ref="D175" r:id="rId174" display="Course Schedule II"/>
    <hyperlink ref="D176" r:id="rId175" display="Find Eventual Safe States"/>
    <hyperlink ref="D177" r:id="rId176" display="Parallel Courses III"/>
    <hyperlink ref="D178" r:id="rId177" display="Minimum Height Trees"/>
    <hyperlink ref="D179" r:id="rId178" display="Redundant Connection"/>
    <hyperlink ref="D180" r:id="rId179" display="Accounts Merge"/>
    <hyperlink ref="D181" r:id="rId180" display="Most Stones Removed with Same Row or Column"/>
    <hyperlink ref="D182" r:id="rId181" display="Satisfiability of Equality Equations"/>
    <hyperlink ref="D183" r:id="rId182" display="Evaluate Division"/>
    <hyperlink ref="D184" r:id="rId183" display="Find All Possible Recipes from Given Supplies"/>
    <hyperlink ref="D185" r:id="rId184" display="Possible Bipartition"/>
    <hyperlink ref="D186" r:id="rId185" display="Network Delay Time"/>
    <hyperlink ref="D187" r:id="rId186" display="Cheapest Flights Within K Stops"/>
    <hyperlink ref="D188" r:id="rId187" display="Path with Minimum Effort"/>
    <hyperlink ref="D189" r:id="rId188" display="Swim in Rising Water"/>
    <hyperlink ref="D190" r:id="rId189" display="Min Cost to Connect All Points"/>
    <hyperlink ref="D191" r:id="rId190" display="Path with Maximum Probability"/>
    <hyperlink ref="D192" r:id="rId191" display="Find the City with the Smallest Number of Neighbors at a Threshold Distance"/>
    <hyperlink ref="D193" r:id="rId192" display="Reconstruct Itinerary"/>
    <hyperlink ref="D194" r:id="rId193" display="Critical Connections in a Network"/>
    <hyperlink ref="D195" r:id="rId194" display="Bus Routes"/>
    <hyperlink ref="D196" r:id="rId195" display="Snakes and Ladders"/>
    <hyperlink ref="D197" r:id="rId196" display="Making a Large Island"/>
    <hyperlink ref="D198" r:id="rId197" display="Jump Game"/>
    <hyperlink ref="D199" r:id="rId198" display="Jump Game II"/>
    <hyperlink ref="D200" r:id="rId199" display="Gas Station"/>
    <hyperlink ref="D201" r:id="rId200" display="Hand of Straights"/>
    <hyperlink ref="D202" r:id="rId201" display="Partition Labels"/>
    <hyperlink ref="D203" r:id="rId202" display="Valid Parenthesis String"/>
    <hyperlink ref="D204" r:id="rId203" display="Candy"/>
    <hyperlink ref="D205" r:id="rId204" display="Assign Cookies"/>
    <hyperlink ref="D206" r:id="rId205" display="Boats to Save People"/>
    <hyperlink ref="D207" r:id="rId206" display="Queue Reconstruction by Height"/>
    <hyperlink ref="D208" r:id="rId207" display="Lemonade Change"/>
    <hyperlink ref="D209" r:id="rId208" display="Merge Triplets to Form Target Triplet"/>
    <hyperlink ref="D210" r:id="rId209" display="Car Pooling"/>
    <hyperlink ref="D211" r:id="rId210" display="Climbing Stairs"/>
    <hyperlink ref="D212" r:id="rId211" display="Min Cost Climbing Stairs"/>
    <hyperlink ref="D213" r:id="rId212" display="House Robber"/>
    <hyperlink ref="D214" r:id="rId213" display="House Robber II"/>
    <hyperlink ref="D215" r:id="rId214" display="Decode Ways"/>
    <hyperlink ref="D216" r:id="rId215" display="Coin Change"/>
    <hyperlink ref="D217" r:id="rId216" display="Word Break"/>
    <hyperlink ref="D218" r:id="rId217" display="Perfect Squares"/>
    <hyperlink ref="D219" r:id="rId218" display="Integer Break"/>
    <hyperlink ref="D220" r:id="rId219" display="Delete and Earn"/>
    <hyperlink ref="D221" r:id="rId220" display="Maximum Sum Circular Subarray"/>
    <hyperlink ref="D222" r:id="rId221" display="Combination Sum IV"/>
    <hyperlink ref="D223" r:id="rId222" display="Longest Increasing Subsequence"/>
    <hyperlink ref="D224" r:id="rId223" display="Number of Longest Increasing Subsequence"/>
    <hyperlink ref="D225" r:id="rId224" display="Russian Doll Envelopes"/>
    <hyperlink ref="D226" r:id="rId225" display="Partition Equal Subset Sum"/>
    <hyperlink ref="D227" r:id="rId226" display="Target Sum"/>
    <hyperlink ref="D228" r:id="rId227" display="Last Stone Weight II"/>
    <hyperlink ref="D229" r:id="rId228" display="Ones and Zeroes"/>
    <hyperlink ref="D230" r:id="rId229" display="Coin Change II"/>
    <hyperlink ref="D231" r:id="rId230" display="Longest Palindromic Substring"/>
    <hyperlink ref="D232" r:id="rId231" display="Palindromic Substrings"/>
    <hyperlink ref="D233" r:id="rId232" display="Longest Palindromic Subsequence"/>
    <hyperlink ref="D234" r:id="rId233" display="Unique Paths"/>
    <hyperlink ref="D235" r:id="rId234" display="Unique Paths II"/>
    <hyperlink ref="D236" r:id="rId235" display="Minimum Path Sum"/>
    <hyperlink ref="D237" r:id="rId236" display="Triangle"/>
    <hyperlink ref="D238" r:id="rId237" display="Minimum Falling Path Sum"/>
    <hyperlink ref="D239" r:id="rId238" display="Maximal Square"/>
    <hyperlink ref="D240" r:id="rId239" display="Count Square Submatrices with All Ones"/>
    <hyperlink ref="D241" r:id="rId240" display="Cherry Pickup"/>
    <hyperlink ref="D242" r:id="rId241" display="Dungeon Game"/>
    <hyperlink ref="D243" r:id="rId242" display="Longest Increasing Path in a Matrix"/>
    <hyperlink ref="D244" r:id="rId243" display="Longest Common Subsequence"/>
    <hyperlink ref="D245" r:id="rId244" display="Edit Distance"/>
    <hyperlink ref="D246" r:id="rId245" display="Distinct Subsequences"/>
    <hyperlink ref="D247" r:id="rId246" display="Interleaving String"/>
    <hyperlink ref="D248" r:id="rId247" display="Uncrossed Lines"/>
    <hyperlink ref="D249" r:id="rId248" display="Minimum Ascii Delete Sum for Two Strings"/>
    <hyperlink ref="D250" r:id="rId249" display="Shortest Common Supersequence"/>
    <hyperlink ref="D251" r:id="rId250" display="Minimum Insertion Steps to Make a String Palindrome"/>
    <hyperlink ref="D252" r:id="rId251" display="Palindrome Partitioning II"/>
    <hyperlink ref="D253" r:id="rId252" display="Regular Expression Matching"/>
    <hyperlink ref="D254" r:id="rId253" display="Wildcard Matching"/>
    <hyperlink ref="D255" r:id="rId254" display="Best Time to Buy and Sell Stock with Cooldown"/>
    <hyperlink ref="D256" r:id="rId255" display="Best Time to Buy and Sell Stock II"/>
    <hyperlink ref="D257" r:id="rId256" display="Best Time to Buy and Sell Stock III"/>
    <hyperlink ref="D258" r:id="rId257" display="Best Time to Buy and Sell Stock IV"/>
    <hyperlink ref="D259" r:id="rId258" display="Best Time to Buy and Sell Stock with Transaction Fee"/>
    <hyperlink ref="D260" r:id="rId259" display="Burst Balloons"/>
    <hyperlink ref="D261" r:id="rId260" display="Minimum Cost to Cut a Stick"/>
    <hyperlink ref="D262" r:id="rId261" display="Stone Game"/>
    <hyperlink ref="D263" r:id="rId262" display="Predict the Winner"/>
    <hyperlink ref="D264" r:id="rId263" display="Partition Array for Maximum Sum"/>
    <hyperlink ref="D265" r:id="rId264" display="Super Egg Drop"/>
    <hyperlink ref="D266" r:id="rId265" display="Shortest Path Visiting All Nodes"/>
    <hyperlink ref="D267" r:id="rId266" display="Number of Ways to Wear Different Hats to Each Other"/>
    <hyperlink ref="D268" r:id="rId267" display="Minimum Number of Work Sessions to Finish the Tasks"/>
    <hyperlink ref="D269" r:id="rId268" display="Find the Shortest Superstring"/>
    <hyperlink ref="D270" r:id="rId269" display="Number of Digit One"/>
    <hyperlink ref="D271" r:id="rId270" display="Binary Tree Cameras"/>
    <hyperlink ref="D272" r:id="rId271" display="Maximum Profit in Job Scheduling"/>
    <hyperlink ref="D273" r:id="rId272" display="Longest Arithmetic Subsequence"/>
    <hyperlink ref="D274" r:id="rId273" display="Knight Probability in Chessboard"/>
    <hyperlink ref="D275" r:id="rId274" display="Stone Game II"/>
    <hyperlink ref="D276" r:id="rId275" display="Arithmetic Slices"/>
    <hyperlink ref="D277" r:id="rId276" display="Longest String Chain"/>
    <hyperlink ref="D278" r:id="rId277" display="Maximum Length of Repeated Subarray"/>
    <hyperlink ref="D279" r:id="rId278" display="Domino and Tromino Tiling"/>
    <hyperlink ref="D280" r:id="rId279" display="Out of Boundary Paths"/>
    <hyperlink ref="D281" r:id="rId280" display="Minimum Cost for Tickets"/>
    <hyperlink ref="D282" r:id="rId281" display="Largest Divisible Subset"/>
    <hyperlink ref="D283" r:id="rId282" display="Single Number"/>
    <hyperlink ref="D284" r:id="rId283" display="Number of 1 Bits"/>
    <hyperlink ref="D285" r:id="rId284" display="Counting Bits"/>
    <hyperlink ref="D286" r:id="rId285" display="Reverse Bits"/>
    <hyperlink ref="D287" r:id="rId286" display="Missing Number"/>
    <hyperlink ref="D288" r:id="rId287" display="Sum of Two Integers"/>
    <hyperlink ref="D289" r:id="rId288" display="Single Number II"/>
    <hyperlink ref="D290" r:id="rId289" display="Single Number III"/>
    <hyperlink ref="D291" r:id="rId290" display="Divide Two Integers"/>
    <hyperlink ref="D292" r:id="rId291" display="Powx N"/>
    <hyperlink ref="D293" r:id="rId292" display="Count Primes"/>
    <hyperlink ref="D294" r:id="rId293" display="Happy Number"/>
    <hyperlink ref="D295" r:id="rId294" display="Multiply Strings"/>
    <hyperlink ref="D296" r:id="rId295" display="Plus One"/>
    <hyperlink ref="D297" r:id="rId296" display="Shortest Subarray with Sum at Least K"/>
    <hyperlink ref="D298" r:id="rId297" display="Constrained Subsequence Sum"/>
    <hyperlink ref="D299" r:id="rId298" display="Jump Game Vi"/>
    <hyperlink ref="D300" r:id="rId299" display="Longest Continuous Subarray with Absolute Diff Less Than or Equal to Limit"/>
    <hyperlink ref="D301" r:id="rId300" display="Subarrays with K Different Integers"/>
    <hyperlink ref="D302" r:id="rId301" display="Count Number of Nice Subarrays"/>
    <hyperlink ref="D303" r:id="rId302" display="Number of Substrings Containing All Three Characters"/>
    <hyperlink ref="D304" r:id="rId303" display="Maximum Points You Can Obtain from Cards"/>
    <hyperlink ref="D305" r:id="rId304" display="Minimum Operations to Reduce X to Zero"/>
    <hyperlink ref="D306" r:id="rId305" display="Find the Index of the First Occurrence in a String"/>
    <hyperlink ref="D307" r:id="rId306" display="Repeated Substring Pattern"/>
    <hyperlink ref="D308" r:id="rId307" display="Shortest Palindrome"/>
    <hyperlink ref="D309" r:id="rId308" display="Longest Happy Prefix"/>
    <hyperlink ref="D310" r:id="rId309" display="Longest Duplicate Substring"/>
    <hyperlink ref="D311" r:id="rId310" display="Sum of Scores of Built Strings"/>
    <hyperlink ref="D312" r:id="rId311" display="Longest Common Prefix"/>
    <hyperlink ref="D313" r:id="rId312" display="String to Integer Atoi"/>
    <hyperlink ref="D314" r:id="rId313" display="Zigzag Conversion"/>
    <hyperlink ref="D315" r:id="rId314" display="Count and Say"/>
    <hyperlink ref="D316" r:id="rId315" display="Integer to Roman"/>
    <hyperlink ref="D317" r:id="rId316" display="Compare Version Numbers"/>
    <hyperlink ref="D318" r:id="rId317" display="Text Justification"/>
    <hyperlink ref="D319" r:id="rId318" display="Reverse Words in a String"/>
    <hyperlink ref="D320" r:id="rId319" display="Range Sum Query Mutable"/>
    <hyperlink ref="D321" r:id="rId320" display="Range Sum Query 2D Immutable"/>
    <hyperlink ref="D322" r:id="rId321" display="Count of Smaller Numbers After Self"/>
    <hyperlink ref="D323" r:id="rId322" display="Reverse Pairs"/>
    <hyperlink ref="D324" r:id="rId323" display="My Calendar I"/>
    <hyperlink ref="D325" r:id="rId324" display="My Calendar III"/>
    <hyperlink ref="D326" r:id="rId325" display="Falling Squares"/>
    <hyperlink ref="D327" r:id="rId326" display="The Skyline Problem"/>
    <hyperlink ref="D328" r:id="rId327" display="Count of Range Sum"/>
    <hyperlink ref="D329" r:id="rId328" display="Lfu Cache"/>
    <hyperlink ref="D330" r:id="rId329" display="Design Hashmap"/>
    <hyperlink ref="D331" r:id="rId330" display="Insert Delete Getrandom O1"/>
    <hyperlink ref="D332" r:id="rId331" display="All Oone Data Structure"/>
    <hyperlink ref="D333" r:id="rId332" display="Design Underground System"/>
    <hyperlink ref="D334" r:id="rId333" display="Implement Queue Using Stacks"/>
    <hyperlink ref="D335" r:id="rId334" display="Implement Stack Using Queues"/>
    <hyperlink ref="D336" r:id="rId335" display="Design Browser History"/>
    <hyperlink ref="D337" r:id="rId336" display="Snapshot Array"/>
    <hyperlink ref="D338" r:id="rId337" display="Design Circular Queue"/>
    <hyperlink ref="D339" r:id="rId338" display="Seat Reservation Manager"/>
    <hyperlink ref="D340" r:id="rId339" display="Flatten Nested List Iterator"/>
    <hyperlink ref="D341" r:id="rId340" display="Number of Ways to Arrive at Destination"/>
    <hyperlink ref="D342" r:id="rId341" display="Shortest Path with Alternating Colors"/>
    <hyperlink ref="D343" r:id="rId342" display="Minimum Obstacle Removal to Reach Corner"/>
    <hyperlink ref="D344" r:id="rId343" display="Minimum Cost to Make at Least One Valid Path in a Grid"/>
    <hyperlink ref="D345" r:id="rId344" display="Word Ladder II"/>
    <hyperlink ref="D346" r:id="rId345" display="Sort Items by Groups Respecting Dependencies"/>
    <hyperlink ref="D347" r:id="rId346" display="Reachable Nodes in Subdivided Graph"/>
    <hyperlink ref="D348" r:id="rId347" display="Detect Cycles in 2D Grid"/>
    <hyperlink ref="D349" r:id="rId348" display="Maximum Number of Points with Cost"/>
    <hyperlink ref="D350" r:id="rId349" display="Path with Maximum Gold"/>
    <hyperlink ref="D351" r:id="rId350" display="Longest Valid Parentheses"/>
    <hyperlink ref="D352" r:id="rId351" display="Word Break II"/>
    <hyperlink ref="D353" r:id="rId352" display="Maximum Frequency Stack"/>
    <hyperlink ref="D354" r:id="rId353" display="Trapping Rain Water II"/>
    <hyperlink ref="D355" r:id="rId354" display="Minimum Number of Refueling Stops"/>
    <hyperlink ref="D356" r:id="rId355" display="Jump Game IV"/>
    <hyperlink ref="D357" r:id="rId356" display="3sum Closest"/>
    <hyperlink ref="D358" r:id="rId357" display="Max Points on a Line"/>
    <hyperlink ref="D359" r:id="rId358" display="Merge Sorted Array"/>
    <hyperlink ref="D360" r:id="rId359" display="Rotate List"/>
    <hyperlink ref="D361" r:id="rId360" display="Swap Nodes in Pairs"/>
    <hyperlink ref="D362" r:id="rId361" display="Odd Even Linked List"/>
    <hyperlink ref="D363" r:id="rId362" display="Partition List"/>
    <hyperlink ref="D364" r:id="rId363" display="Remove Duplicates from Sorted List II"/>
    <hyperlink ref="D365" r:id="rId364" display="Reverse Linked List II"/>
    <hyperlink ref="D366" r:id="rId365" display="Populating Next Right Pointers in Each Node"/>
    <hyperlink ref="D367" r:id="rId366" display="Binary Search Tree Iterator"/>
    <hyperlink ref="D368" r:id="rId367" display="Kth Smallest Element in a Sorted Matrix"/>
    <hyperlink ref="D369" r:id="rId368" display="Search in Rotated Sorted Array II"/>
    <hyperlink ref="D370" r:id="rId369" display="Unique Binary Search Trees"/>
    <hyperlink ref="D371" r:id="rId370" display="Unique Binary Search Trees II"/>
    <hyperlink ref="D372" r:id="rId371" display="Maximum Sum of 3 Non Overlapping Subarrays"/>
    <hyperlink ref="D373" r:id="rId372" display="Find in Mountain Array"/>
    <hyperlink ref="D374" r:id="rId373" display="Maximum Number of Events That Can Be Attended"/>
    <hyperlink ref="D375" r:id="rId374" display="Non Decreasing Array"/>
    <hyperlink ref="D376" r:id="rId375" display="Valid Sudoku"/>
    <hyperlink ref="D377" r:id="rId376" display="Game of Life"/>
    <hyperlink ref="D378" r:id="rId377" display="Bulls and Cows"/>
    <hyperlink ref="D379" r:id="rId378" display="Lexicographical Numbers"/>
    <hyperlink ref="D380" r:id="rId379" display="K Th Symbol in Grammar"/>
    <hyperlink ref="D381" r:id="rId380" display="My Calendar II"/>
    <hyperlink ref="D382" r:id="rId381" display="Smallest String with Swaps"/>
    <hyperlink ref="D383" r:id="rId382" display="Maximum Score of a Good Subarray"/>
    <hyperlink ref="D384" r:id="rId383" display="Longest Increasing Subsequence II"/>
    <hyperlink ref="D385" r:id="rId384" display="Minimum Interval to Include Each Query"/>
    <hyperlink ref="D386" r:id="rId385" display="Maximum Subarray Min Product"/>
    <hyperlink ref="D387" r:id="rId386" display="Find Duplicate Subtrees"/>
    <hyperlink ref="D388" r:id="rId387" display="Longest Zigzag Path in a Binary Tree"/>
    <hyperlink ref="D389" r:id="rId388" display="Lowest Common Ancestor of Deepest Leaves"/>
    <hyperlink ref="D390" r:id="rId389" display="Count Complete Tree Nodes"/>
    <hyperlink ref="D391" r:id="rId390" display="Maximal Rectangle"/>
    <hyperlink ref="D392" r:id="rId391" display="Minimum Cost to Hire K Workers"/>
    <hyperlink ref="D393" r:id="rId392" display="Longest Substring with at Least K Repeating Characters"/>
    <hyperlink ref="D394" r:id="rId393" display="Frog Jump"/>
    <hyperlink ref="D395" r:id="rId394" display="Cherry Pickup I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9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7" min="4" style="0" width="10"/>
    <col collapsed="false" customWidth="true" hidden="false" outlineLevel="0" max="9" min="8" style="0" width="9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44"/>
    <col collapsed="false" customWidth="true" hidden="false" outlineLevel="0" max="13" min="13" style="0" width="26"/>
  </cols>
  <sheetData>
    <row r="1" customFormat="false" ht="16.15" hidden="false" customHeight="false" outlineLevel="0" collapsed="false">
      <c r="A1" s="19" t="s">
        <v>576</v>
      </c>
    </row>
    <row r="2" customFormat="false" ht="15" hidden="false" customHeight="false" outlineLevel="0" collapsed="false">
      <c r="A2" s="5" t="s">
        <v>577</v>
      </c>
    </row>
    <row r="4" customFormat="false" ht="31.5" hidden="false" customHeight="true" outlineLevel="0" collapsed="false">
      <c r="A4" s="9" t="s">
        <v>578</v>
      </c>
      <c r="B4" s="9" t="s">
        <v>579</v>
      </c>
      <c r="C4" s="9" t="s">
        <v>580</v>
      </c>
      <c r="D4" s="9" t="s">
        <v>581</v>
      </c>
      <c r="E4" s="9" t="s">
        <v>582</v>
      </c>
      <c r="F4" s="9" t="s">
        <v>583</v>
      </c>
      <c r="G4" s="9" t="s">
        <v>584</v>
      </c>
      <c r="H4" s="9" t="s">
        <v>585</v>
      </c>
      <c r="I4" s="9" t="s">
        <v>586</v>
      </c>
      <c r="J4" s="9" t="s">
        <v>587</v>
      </c>
      <c r="K4" s="9" t="s">
        <v>588</v>
      </c>
      <c r="L4" s="9" t="s">
        <v>589</v>
      </c>
      <c r="M4" s="9" t="s">
        <v>590</v>
      </c>
    </row>
    <row r="5" customFormat="false" ht="15" hidden="false" customHeight="false" outlineLevel="0" collapsed="false">
      <c r="A5" s="20" t="n">
        <v>46327</v>
      </c>
      <c r="B5" s="21" t="s">
        <v>591</v>
      </c>
      <c r="C5" s="21" t="s">
        <v>592</v>
      </c>
      <c r="D5" s="21" t="n">
        <v>8</v>
      </c>
      <c r="E5" s="21" t="n">
        <v>24</v>
      </c>
      <c r="F5" s="21"/>
      <c r="G5" s="21"/>
      <c r="H5" s="21" t="n">
        <f aca="false">IF(COUNT(D5:G5)=0,"",COUNT(D5:G5))</f>
        <v>2</v>
      </c>
      <c r="I5" s="21" t="n">
        <v>5400</v>
      </c>
      <c r="J5" s="21" t="n">
        <v>1620</v>
      </c>
      <c r="K5" s="21" t="s">
        <v>593</v>
      </c>
      <c r="L5" s="21" t="s">
        <v>594</v>
      </c>
      <c r="M5" s="21" t="s">
        <v>595</v>
      </c>
    </row>
    <row r="6" customFormat="false" ht="15" hidden="false" customHeight="false" outlineLevel="0" collapsed="false">
      <c r="A6" s="22"/>
      <c r="B6" s="23"/>
      <c r="C6" s="23"/>
      <c r="D6" s="23"/>
      <c r="E6" s="23"/>
      <c r="F6" s="23"/>
      <c r="G6" s="23"/>
      <c r="H6" s="23" t="str">
        <f aca="false">IF(COUNT(D6:G6)=0,"",COUNT(D6:G6))</f>
        <v/>
      </c>
      <c r="I6" s="23"/>
      <c r="J6" s="23"/>
      <c r="K6" s="23"/>
      <c r="L6" s="23"/>
      <c r="M6" s="23"/>
    </row>
    <row r="7" customFormat="false" ht="15" hidden="false" customHeight="false" outlineLevel="0" collapsed="false">
      <c r="A7" s="22"/>
      <c r="B7" s="23"/>
      <c r="C7" s="23"/>
      <c r="D7" s="23"/>
      <c r="E7" s="23"/>
      <c r="F7" s="23"/>
      <c r="G7" s="23"/>
      <c r="H7" s="23" t="str">
        <f aca="false">IF(COUNT(D7:G7)=0,"",COUNT(D7:G7))</f>
        <v/>
      </c>
      <c r="I7" s="23"/>
      <c r="J7" s="23"/>
      <c r="K7" s="23"/>
      <c r="L7" s="23"/>
      <c r="M7" s="23"/>
    </row>
    <row r="8" customFormat="false" ht="15" hidden="false" customHeight="false" outlineLevel="0" collapsed="false">
      <c r="A8" s="22"/>
      <c r="B8" s="23"/>
      <c r="C8" s="23"/>
      <c r="D8" s="23"/>
      <c r="E8" s="23"/>
      <c r="F8" s="23"/>
      <c r="G8" s="23"/>
      <c r="H8" s="23" t="str">
        <f aca="false">IF(COUNT(D8:G8)=0,"",COUNT(D8:G8))</f>
        <v/>
      </c>
      <c r="I8" s="23"/>
      <c r="J8" s="23"/>
      <c r="K8" s="23"/>
      <c r="L8" s="23"/>
      <c r="M8" s="23"/>
    </row>
    <row r="9" customFormat="false" ht="15" hidden="false" customHeight="false" outlineLevel="0" collapsed="false">
      <c r="A9" s="22"/>
      <c r="B9" s="23"/>
      <c r="C9" s="23"/>
      <c r="D9" s="23"/>
      <c r="E9" s="23"/>
      <c r="F9" s="23"/>
      <c r="G9" s="23"/>
      <c r="H9" s="23" t="str">
        <f aca="false">IF(COUNT(D9:G9)=0,"",COUNT(D9:G9))</f>
        <v/>
      </c>
      <c r="I9" s="23"/>
      <c r="J9" s="23"/>
      <c r="K9" s="23"/>
      <c r="L9" s="23"/>
      <c r="M9" s="23"/>
    </row>
    <row r="10" customFormat="false" ht="15" hidden="false" customHeight="false" outlineLevel="0" collapsed="false">
      <c r="A10" s="22"/>
      <c r="B10" s="23"/>
      <c r="C10" s="23"/>
      <c r="D10" s="23"/>
      <c r="E10" s="23"/>
      <c r="F10" s="23"/>
      <c r="G10" s="23"/>
      <c r="H10" s="23" t="str">
        <f aca="false">IF(COUNT(D10:G10)=0,"",COUNT(D10:G10))</f>
        <v/>
      </c>
      <c r="I10" s="23"/>
      <c r="J10" s="23"/>
      <c r="K10" s="23"/>
      <c r="L10" s="23"/>
      <c r="M10" s="23"/>
    </row>
    <row r="11" customFormat="false" ht="15" hidden="false" customHeight="false" outlineLevel="0" collapsed="false">
      <c r="A11" s="22"/>
      <c r="B11" s="23"/>
      <c r="C11" s="23"/>
      <c r="D11" s="23"/>
      <c r="E11" s="23"/>
      <c r="F11" s="23"/>
      <c r="G11" s="23"/>
      <c r="H11" s="23" t="str">
        <f aca="false">IF(COUNT(D11:G11)=0,"",COUNT(D11:G11))</f>
        <v/>
      </c>
      <c r="I11" s="23"/>
      <c r="J11" s="23"/>
      <c r="K11" s="23"/>
      <c r="L11" s="23"/>
      <c r="M11" s="23"/>
    </row>
    <row r="12" customFormat="false" ht="15" hidden="false" customHeight="false" outlineLevel="0" collapsed="false">
      <c r="A12" s="22"/>
      <c r="B12" s="23"/>
      <c r="C12" s="23"/>
      <c r="D12" s="23"/>
      <c r="E12" s="23"/>
      <c r="F12" s="23"/>
      <c r="G12" s="23"/>
      <c r="H12" s="23" t="str">
        <f aca="false">IF(COUNT(D12:G12)=0,"",COUNT(D12:G12))</f>
        <v/>
      </c>
      <c r="I12" s="23"/>
      <c r="J12" s="23"/>
      <c r="K12" s="23"/>
      <c r="L12" s="23"/>
      <c r="M12" s="23"/>
    </row>
    <row r="13" customFormat="false" ht="15" hidden="false" customHeight="false" outlineLevel="0" collapsed="false">
      <c r="A13" s="22"/>
      <c r="B13" s="23"/>
      <c r="C13" s="23"/>
      <c r="D13" s="23"/>
      <c r="E13" s="23"/>
      <c r="F13" s="23"/>
      <c r="G13" s="23"/>
      <c r="H13" s="23" t="str">
        <f aca="false">IF(COUNT(D13:G13)=0,"",COUNT(D13:G13))</f>
        <v/>
      </c>
      <c r="I13" s="23"/>
      <c r="J13" s="23"/>
      <c r="K13" s="23"/>
      <c r="L13" s="23"/>
      <c r="M13" s="23"/>
    </row>
    <row r="14" customFormat="false" ht="15" hidden="false" customHeight="false" outlineLevel="0" collapsed="false">
      <c r="A14" s="22"/>
      <c r="B14" s="23"/>
      <c r="C14" s="23"/>
      <c r="D14" s="23"/>
      <c r="E14" s="23"/>
      <c r="F14" s="23"/>
      <c r="G14" s="23"/>
      <c r="H14" s="23" t="str">
        <f aca="false">IF(COUNT(D14:G14)=0,"",COUNT(D14:G14))</f>
        <v/>
      </c>
      <c r="I14" s="23"/>
      <c r="J14" s="23"/>
      <c r="K14" s="23"/>
      <c r="L14" s="23"/>
      <c r="M14" s="23"/>
    </row>
    <row r="15" customFormat="false" ht="15" hidden="false" customHeight="false" outlineLevel="0" collapsed="false">
      <c r="A15" s="22"/>
      <c r="B15" s="23"/>
      <c r="C15" s="23"/>
      <c r="D15" s="23"/>
      <c r="E15" s="23"/>
      <c r="F15" s="23"/>
      <c r="G15" s="23"/>
      <c r="H15" s="23" t="str">
        <f aca="false">IF(COUNT(D15:G15)=0,"",COUNT(D15:G15))</f>
        <v/>
      </c>
      <c r="I15" s="23"/>
      <c r="J15" s="23"/>
      <c r="K15" s="23"/>
      <c r="L15" s="23"/>
      <c r="M15" s="23"/>
    </row>
    <row r="16" customFormat="false" ht="15" hidden="false" customHeight="false" outlineLevel="0" collapsed="false">
      <c r="A16" s="22"/>
      <c r="B16" s="23"/>
      <c r="C16" s="23"/>
      <c r="D16" s="23"/>
      <c r="E16" s="23"/>
      <c r="F16" s="23"/>
      <c r="G16" s="23"/>
      <c r="H16" s="23" t="str">
        <f aca="false">IF(COUNT(D16:G16)=0,"",COUNT(D16:G16))</f>
        <v/>
      </c>
      <c r="I16" s="23"/>
      <c r="J16" s="23"/>
      <c r="K16" s="23"/>
      <c r="L16" s="23"/>
      <c r="M16" s="23"/>
    </row>
    <row r="17" customFormat="false" ht="15" hidden="false" customHeight="false" outlineLevel="0" collapsed="false">
      <c r="A17" s="22"/>
      <c r="B17" s="23"/>
      <c r="C17" s="23"/>
      <c r="D17" s="23"/>
      <c r="E17" s="23"/>
      <c r="F17" s="23"/>
      <c r="G17" s="23"/>
      <c r="H17" s="23" t="str">
        <f aca="false">IF(COUNT(D17:G17)=0,"",COUNT(D17:G17))</f>
        <v/>
      </c>
      <c r="I17" s="23"/>
      <c r="J17" s="23"/>
      <c r="K17" s="23"/>
      <c r="L17" s="23"/>
      <c r="M17" s="23"/>
    </row>
    <row r="18" customFormat="false" ht="15" hidden="false" customHeight="false" outlineLevel="0" collapsed="false">
      <c r="A18" s="22"/>
      <c r="B18" s="23"/>
      <c r="C18" s="23"/>
      <c r="D18" s="23"/>
      <c r="E18" s="23"/>
      <c r="F18" s="23"/>
      <c r="G18" s="23"/>
      <c r="H18" s="23" t="str">
        <f aca="false">IF(COUNT(D18:G18)=0,"",COUNT(D18:G18))</f>
        <v/>
      </c>
      <c r="I18" s="23"/>
      <c r="J18" s="23"/>
      <c r="K18" s="23"/>
      <c r="L18" s="23"/>
      <c r="M18" s="23"/>
    </row>
    <row r="19" customFormat="false" ht="15" hidden="false" customHeight="false" outlineLevel="0" collapsed="false">
      <c r="A19" s="22"/>
      <c r="B19" s="23"/>
      <c r="C19" s="23"/>
      <c r="D19" s="23"/>
      <c r="E19" s="23"/>
      <c r="F19" s="23"/>
      <c r="G19" s="23"/>
      <c r="H19" s="23" t="str">
        <f aca="false">IF(COUNT(D19:G19)=0,"",COUNT(D19:G19))</f>
        <v/>
      </c>
      <c r="I19" s="23"/>
      <c r="J19" s="23"/>
      <c r="K19" s="23"/>
      <c r="L19" s="23"/>
      <c r="M19" s="23"/>
    </row>
    <row r="20" customFormat="false" ht="15" hidden="false" customHeight="false" outlineLevel="0" collapsed="false">
      <c r="A20" s="22"/>
      <c r="B20" s="23"/>
      <c r="C20" s="23"/>
      <c r="D20" s="23"/>
      <c r="E20" s="23"/>
      <c r="F20" s="23"/>
      <c r="G20" s="23"/>
      <c r="H20" s="23" t="str">
        <f aca="false">IF(COUNT(D20:G20)=0,"",COUNT(D20:G20))</f>
        <v/>
      </c>
      <c r="I20" s="23"/>
      <c r="J20" s="23"/>
      <c r="K20" s="23"/>
      <c r="L20" s="23"/>
      <c r="M20" s="23"/>
    </row>
    <row r="21" customFormat="false" ht="15" hidden="false" customHeight="false" outlineLevel="0" collapsed="false">
      <c r="A21" s="22"/>
      <c r="B21" s="23"/>
      <c r="C21" s="23"/>
      <c r="D21" s="23"/>
      <c r="E21" s="23"/>
      <c r="F21" s="23"/>
      <c r="G21" s="23"/>
      <c r="H21" s="23" t="str">
        <f aca="false">IF(COUNT(D21:G21)=0,"",COUNT(D21:G21))</f>
        <v/>
      </c>
      <c r="I21" s="23"/>
      <c r="J21" s="23"/>
      <c r="K21" s="23"/>
      <c r="L21" s="23"/>
      <c r="M21" s="23"/>
    </row>
    <row r="22" customFormat="false" ht="15" hidden="false" customHeight="false" outlineLevel="0" collapsed="false">
      <c r="A22" s="22"/>
      <c r="B22" s="23"/>
      <c r="C22" s="23"/>
      <c r="D22" s="23"/>
      <c r="E22" s="23"/>
      <c r="F22" s="23"/>
      <c r="G22" s="23"/>
      <c r="H22" s="23" t="str">
        <f aca="false">IF(COUNT(D22:G22)=0,"",COUNT(D22:G22))</f>
        <v/>
      </c>
      <c r="I22" s="23"/>
      <c r="J22" s="23"/>
      <c r="K22" s="23"/>
      <c r="L22" s="23"/>
      <c r="M22" s="23"/>
    </row>
    <row r="23" customFormat="false" ht="15" hidden="false" customHeight="false" outlineLevel="0" collapsed="false">
      <c r="A23" s="22"/>
      <c r="B23" s="23"/>
      <c r="C23" s="23"/>
      <c r="D23" s="23"/>
      <c r="E23" s="23"/>
      <c r="F23" s="23"/>
      <c r="G23" s="23"/>
      <c r="H23" s="23" t="str">
        <f aca="false">IF(COUNT(D23:G23)=0,"",COUNT(D23:G23))</f>
        <v/>
      </c>
      <c r="I23" s="23"/>
      <c r="J23" s="23"/>
      <c r="K23" s="23"/>
      <c r="L23" s="23"/>
      <c r="M23" s="23"/>
    </row>
    <row r="24" customFormat="false" ht="15" hidden="false" customHeight="false" outlineLevel="0" collapsed="false">
      <c r="A24" s="22"/>
      <c r="B24" s="23"/>
      <c r="C24" s="23"/>
      <c r="D24" s="23"/>
      <c r="E24" s="23"/>
      <c r="F24" s="23"/>
      <c r="G24" s="23"/>
      <c r="H24" s="23" t="str">
        <f aca="false">IF(COUNT(D24:G24)=0,"",COUNT(D24:G24))</f>
        <v/>
      </c>
      <c r="I24" s="23"/>
      <c r="J24" s="23"/>
      <c r="K24" s="23"/>
      <c r="L24" s="23"/>
      <c r="M24" s="23"/>
    </row>
    <row r="25" customFormat="false" ht="15" hidden="false" customHeight="false" outlineLevel="0" collapsed="false">
      <c r="A25" s="22"/>
      <c r="B25" s="23"/>
      <c r="C25" s="23"/>
      <c r="D25" s="23"/>
      <c r="E25" s="23"/>
      <c r="F25" s="23"/>
      <c r="G25" s="23"/>
      <c r="H25" s="23" t="str">
        <f aca="false">IF(COUNT(D25:G25)=0,"",COUNT(D25:G25))</f>
        <v/>
      </c>
      <c r="I25" s="23"/>
      <c r="J25" s="23"/>
      <c r="K25" s="23"/>
      <c r="L25" s="23"/>
      <c r="M25" s="23"/>
    </row>
    <row r="26" customFormat="false" ht="15" hidden="false" customHeight="false" outlineLevel="0" collapsed="false">
      <c r="A26" s="22"/>
      <c r="B26" s="23"/>
      <c r="C26" s="23"/>
      <c r="D26" s="23"/>
      <c r="E26" s="23"/>
      <c r="F26" s="23"/>
      <c r="G26" s="23"/>
      <c r="H26" s="23" t="str">
        <f aca="false">IF(COUNT(D26:G26)=0,"",COUNT(D26:G26))</f>
        <v/>
      </c>
      <c r="I26" s="23"/>
      <c r="J26" s="23"/>
      <c r="K26" s="23"/>
      <c r="L26" s="23"/>
      <c r="M26" s="23"/>
    </row>
    <row r="27" customFormat="false" ht="15" hidden="false" customHeight="false" outlineLevel="0" collapsed="false">
      <c r="A27" s="22"/>
      <c r="B27" s="23"/>
      <c r="C27" s="23"/>
      <c r="D27" s="23"/>
      <c r="E27" s="23"/>
      <c r="F27" s="23"/>
      <c r="G27" s="23"/>
      <c r="H27" s="23" t="str">
        <f aca="false">IF(COUNT(D27:G27)=0,"",COUNT(D27:G27))</f>
        <v/>
      </c>
      <c r="I27" s="23"/>
      <c r="J27" s="23"/>
      <c r="K27" s="23"/>
      <c r="L27" s="23"/>
      <c r="M27" s="23"/>
    </row>
    <row r="28" customFormat="false" ht="15" hidden="false" customHeight="false" outlineLevel="0" collapsed="false">
      <c r="A28" s="22"/>
      <c r="B28" s="23"/>
      <c r="C28" s="23"/>
      <c r="D28" s="23"/>
      <c r="E28" s="23"/>
      <c r="F28" s="23"/>
      <c r="G28" s="23"/>
      <c r="H28" s="23" t="str">
        <f aca="false">IF(COUNT(D28:G28)=0,"",COUNT(D28:G28))</f>
        <v/>
      </c>
      <c r="I28" s="23"/>
      <c r="J28" s="23"/>
      <c r="K28" s="23"/>
      <c r="L28" s="23"/>
      <c r="M28" s="23"/>
    </row>
    <row r="29" customFormat="false" ht="15" hidden="false" customHeight="false" outlineLevel="0" collapsed="false">
      <c r="A29" s="22"/>
      <c r="B29" s="23"/>
      <c r="C29" s="23"/>
      <c r="D29" s="23"/>
      <c r="E29" s="23"/>
      <c r="F29" s="23"/>
      <c r="G29" s="23"/>
      <c r="H29" s="23" t="str">
        <f aca="false">IF(COUNT(D29:G29)=0,"",COUNT(D29:G29))</f>
        <v/>
      </c>
      <c r="I29" s="23"/>
      <c r="J29" s="23"/>
      <c r="K29" s="23"/>
      <c r="L29" s="23"/>
      <c r="M29" s="23"/>
    </row>
    <row r="30" customFormat="false" ht="15" hidden="false" customHeight="false" outlineLevel="0" collapsed="false">
      <c r="A30" s="22"/>
      <c r="B30" s="23"/>
      <c r="C30" s="23"/>
      <c r="D30" s="23"/>
      <c r="E30" s="23"/>
      <c r="F30" s="23"/>
      <c r="G30" s="23"/>
      <c r="H30" s="23" t="str">
        <f aca="false">IF(COUNT(D30:G30)=0,"",COUNT(D30:G30))</f>
        <v/>
      </c>
      <c r="I30" s="23"/>
      <c r="J30" s="23"/>
      <c r="K30" s="23"/>
      <c r="L30" s="23"/>
      <c r="M30" s="23"/>
    </row>
    <row r="31" customFormat="false" ht="15" hidden="false" customHeight="false" outlineLevel="0" collapsed="false">
      <c r="A31" s="22"/>
      <c r="B31" s="23"/>
      <c r="C31" s="23"/>
      <c r="D31" s="23"/>
      <c r="E31" s="23"/>
      <c r="F31" s="23"/>
      <c r="G31" s="23"/>
      <c r="H31" s="23" t="str">
        <f aca="false">IF(COUNT(D31:G31)=0,"",COUNT(D31:G31))</f>
        <v/>
      </c>
      <c r="I31" s="23"/>
      <c r="J31" s="23"/>
      <c r="K31" s="23"/>
      <c r="L31" s="23"/>
      <c r="M31" s="23"/>
    </row>
    <row r="32" customFormat="false" ht="15" hidden="false" customHeight="false" outlineLevel="0" collapsed="false">
      <c r="A32" s="22"/>
      <c r="B32" s="23"/>
      <c r="C32" s="23"/>
      <c r="D32" s="23"/>
      <c r="E32" s="23"/>
      <c r="F32" s="23"/>
      <c r="G32" s="23"/>
      <c r="H32" s="23" t="str">
        <f aca="false">IF(COUNT(D32:G32)=0,"",COUNT(D32:G32))</f>
        <v/>
      </c>
      <c r="I32" s="23"/>
      <c r="J32" s="23"/>
      <c r="K32" s="23"/>
      <c r="L32" s="23"/>
      <c r="M32" s="23"/>
    </row>
    <row r="33" customFormat="false" ht="15" hidden="false" customHeight="false" outlineLevel="0" collapsed="false">
      <c r="A33" s="22"/>
      <c r="B33" s="23"/>
      <c r="C33" s="23"/>
      <c r="D33" s="23"/>
      <c r="E33" s="23"/>
      <c r="F33" s="23"/>
      <c r="G33" s="23"/>
      <c r="H33" s="23" t="str">
        <f aca="false">IF(COUNT(D33:G33)=0,"",COUNT(D33:G33))</f>
        <v/>
      </c>
      <c r="I33" s="23"/>
      <c r="J33" s="23"/>
      <c r="K33" s="23"/>
      <c r="L33" s="23"/>
      <c r="M33" s="23"/>
    </row>
    <row r="34" customFormat="false" ht="15" hidden="false" customHeight="false" outlineLevel="0" collapsed="false">
      <c r="A34" s="22"/>
      <c r="B34" s="23"/>
      <c r="C34" s="23"/>
      <c r="D34" s="23"/>
      <c r="E34" s="23"/>
      <c r="F34" s="23"/>
      <c r="G34" s="23"/>
      <c r="H34" s="23" t="str">
        <f aca="false">IF(COUNT(D34:G34)=0,"",COUNT(D34:G34))</f>
        <v/>
      </c>
      <c r="I34" s="23"/>
      <c r="J34" s="23"/>
      <c r="K34" s="23"/>
      <c r="L34" s="23"/>
      <c r="M34" s="23"/>
    </row>
    <row r="35" customFormat="false" ht="15" hidden="false" customHeight="false" outlineLevel="0" collapsed="false">
      <c r="A35" s="22"/>
      <c r="B35" s="23"/>
      <c r="C35" s="23"/>
      <c r="D35" s="23"/>
      <c r="E35" s="23"/>
      <c r="F35" s="23"/>
      <c r="G35" s="23"/>
      <c r="H35" s="23" t="str">
        <f aca="false">IF(COUNT(D35:G35)=0,"",COUNT(D35:G35))</f>
        <v/>
      </c>
      <c r="I35" s="23"/>
      <c r="J35" s="23"/>
      <c r="K35" s="23"/>
      <c r="L35" s="23"/>
      <c r="M35" s="23"/>
    </row>
    <row r="36" customFormat="false" ht="15" hidden="false" customHeight="false" outlineLevel="0" collapsed="false">
      <c r="A36" s="22"/>
      <c r="B36" s="23"/>
      <c r="C36" s="23"/>
      <c r="D36" s="23"/>
      <c r="E36" s="23"/>
      <c r="F36" s="23"/>
      <c r="G36" s="23"/>
      <c r="H36" s="23" t="str">
        <f aca="false">IF(COUNT(D36:G36)=0,"",COUNT(D36:G36))</f>
        <v/>
      </c>
      <c r="I36" s="23"/>
      <c r="J36" s="23"/>
      <c r="K36" s="23"/>
      <c r="L36" s="23"/>
      <c r="M36" s="23"/>
    </row>
    <row r="37" customFormat="false" ht="15" hidden="false" customHeight="false" outlineLevel="0" collapsed="false">
      <c r="A37" s="22"/>
      <c r="B37" s="23"/>
      <c r="C37" s="23"/>
      <c r="D37" s="23"/>
      <c r="E37" s="23"/>
      <c r="F37" s="23"/>
      <c r="G37" s="23"/>
      <c r="H37" s="23" t="str">
        <f aca="false">IF(COUNT(D37:G37)=0,"",COUNT(D37:G37))</f>
        <v/>
      </c>
      <c r="I37" s="23"/>
      <c r="J37" s="23"/>
      <c r="K37" s="23"/>
      <c r="L37" s="23"/>
      <c r="M37" s="23"/>
    </row>
    <row r="38" customFormat="false" ht="15" hidden="false" customHeight="false" outlineLevel="0" collapsed="false">
      <c r="A38" s="22"/>
      <c r="B38" s="23"/>
      <c r="C38" s="23"/>
      <c r="D38" s="23"/>
      <c r="E38" s="23"/>
      <c r="F38" s="23"/>
      <c r="G38" s="23"/>
      <c r="H38" s="23" t="str">
        <f aca="false">IF(COUNT(D38:G38)=0,"",COUNT(D38:G38))</f>
        <v/>
      </c>
      <c r="I38" s="23"/>
      <c r="J38" s="23"/>
      <c r="K38" s="23"/>
      <c r="L38" s="23"/>
      <c r="M38" s="23"/>
    </row>
    <row r="39" customFormat="false" ht="15" hidden="false" customHeight="false" outlineLevel="0" collapsed="false">
      <c r="A39" s="22"/>
      <c r="B39" s="23"/>
      <c r="C39" s="23"/>
      <c r="D39" s="23"/>
      <c r="E39" s="23"/>
      <c r="F39" s="23"/>
      <c r="G39" s="23"/>
      <c r="H39" s="23" t="str">
        <f aca="false">IF(COUNT(D39:G39)=0,"",COUNT(D39:G39))</f>
        <v/>
      </c>
      <c r="I39" s="23"/>
      <c r="J39" s="23"/>
      <c r="K39" s="23"/>
      <c r="L39" s="23"/>
      <c r="M39" s="23"/>
    </row>
    <row r="40" customFormat="false" ht="15" hidden="false" customHeight="false" outlineLevel="0" collapsed="false">
      <c r="A40" s="22"/>
      <c r="B40" s="23"/>
      <c r="C40" s="23"/>
      <c r="D40" s="23"/>
      <c r="E40" s="23"/>
      <c r="F40" s="23"/>
      <c r="G40" s="23"/>
      <c r="H40" s="23" t="str">
        <f aca="false">IF(COUNT(D40:G40)=0,"",COUNT(D40:G40))</f>
        <v/>
      </c>
      <c r="I40" s="23"/>
      <c r="J40" s="23"/>
      <c r="K40" s="23"/>
      <c r="L40" s="23"/>
      <c r="M40" s="23"/>
    </row>
    <row r="41" customFormat="false" ht="15" hidden="false" customHeight="false" outlineLevel="0" collapsed="false">
      <c r="A41" s="22"/>
      <c r="B41" s="23"/>
      <c r="C41" s="23"/>
      <c r="D41" s="23"/>
      <c r="E41" s="23"/>
      <c r="F41" s="23"/>
      <c r="G41" s="23"/>
      <c r="H41" s="23" t="str">
        <f aca="false">IF(COUNT(D41:G41)=0,"",COUNT(D41:G41))</f>
        <v/>
      </c>
      <c r="I41" s="23"/>
      <c r="J41" s="23"/>
      <c r="K41" s="23"/>
      <c r="L41" s="23"/>
      <c r="M41" s="23"/>
    </row>
    <row r="42" customFormat="false" ht="15" hidden="false" customHeight="false" outlineLevel="0" collapsed="false">
      <c r="A42" s="22"/>
      <c r="B42" s="23"/>
      <c r="C42" s="23"/>
      <c r="D42" s="23"/>
      <c r="E42" s="23"/>
      <c r="F42" s="23"/>
      <c r="G42" s="23"/>
      <c r="H42" s="23" t="str">
        <f aca="false">IF(COUNT(D42:G42)=0,"",COUNT(D42:G42))</f>
        <v/>
      </c>
      <c r="I42" s="23"/>
      <c r="J42" s="23"/>
      <c r="K42" s="23"/>
      <c r="L42" s="23"/>
      <c r="M42" s="23"/>
    </row>
    <row r="43" customFormat="false" ht="15" hidden="false" customHeight="false" outlineLevel="0" collapsed="false">
      <c r="A43" s="22"/>
      <c r="B43" s="23"/>
      <c r="C43" s="23"/>
      <c r="D43" s="23"/>
      <c r="E43" s="23"/>
      <c r="F43" s="23"/>
      <c r="G43" s="23"/>
      <c r="H43" s="23" t="str">
        <f aca="false">IF(COUNT(D43:G43)=0,"",COUNT(D43:G43))</f>
        <v/>
      </c>
      <c r="I43" s="23"/>
      <c r="J43" s="23"/>
      <c r="K43" s="23"/>
      <c r="L43" s="23"/>
      <c r="M43" s="23"/>
    </row>
    <row r="44" customFormat="false" ht="15" hidden="false" customHeight="false" outlineLevel="0" collapsed="false">
      <c r="A44" s="22"/>
      <c r="B44" s="23"/>
      <c r="C44" s="23"/>
      <c r="D44" s="23"/>
      <c r="E44" s="23"/>
      <c r="F44" s="23"/>
      <c r="G44" s="23"/>
      <c r="H44" s="23" t="str">
        <f aca="false">IF(COUNT(D44:G44)=0,"",COUNT(D44:G44))</f>
        <v/>
      </c>
      <c r="I44" s="23"/>
      <c r="J44" s="23"/>
      <c r="K44" s="23"/>
      <c r="L44" s="23"/>
      <c r="M44" s="23"/>
    </row>
    <row r="45" customFormat="false" ht="15" hidden="false" customHeight="false" outlineLevel="0" collapsed="false">
      <c r="A45" s="22"/>
      <c r="B45" s="23"/>
      <c r="C45" s="23"/>
      <c r="D45" s="23"/>
      <c r="E45" s="23"/>
      <c r="F45" s="23"/>
      <c r="G45" s="23"/>
      <c r="H45" s="23" t="str">
        <f aca="false">IF(COUNT(D45:G45)=0,"",COUNT(D45:G45))</f>
        <v/>
      </c>
      <c r="I45" s="23"/>
      <c r="J45" s="23"/>
      <c r="K45" s="23"/>
      <c r="L45" s="23"/>
      <c r="M45" s="23"/>
    </row>
    <row r="46" customFormat="false" ht="15" hidden="false" customHeight="false" outlineLevel="0" collapsed="false">
      <c r="A46" s="22"/>
      <c r="B46" s="23"/>
      <c r="C46" s="23"/>
      <c r="D46" s="23"/>
      <c r="E46" s="23"/>
      <c r="F46" s="23"/>
      <c r="G46" s="23"/>
      <c r="H46" s="23" t="str">
        <f aca="false">IF(COUNT(D46:G46)=0,"",COUNT(D46:G46))</f>
        <v/>
      </c>
      <c r="I46" s="23"/>
      <c r="J46" s="23"/>
      <c r="K46" s="23"/>
      <c r="L46" s="23"/>
      <c r="M46" s="23"/>
    </row>
    <row r="47" customFormat="false" ht="15" hidden="false" customHeight="false" outlineLevel="0" collapsed="false">
      <c r="A47" s="22"/>
      <c r="B47" s="23"/>
      <c r="C47" s="23"/>
      <c r="D47" s="23"/>
      <c r="E47" s="23"/>
      <c r="F47" s="23"/>
      <c r="G47" s="23"/>
      <c r="H47" s="23" t="str">
        <f aca="false">IF(COUNT(D47:G47)=0,"",COUNT(D47:G47))</f>
        <v/>
      </c>
      <c r="I47" s="23"/>
      <c r="J47" s="23"/>
      <c r="K47" s="23"/>
      <c r="L47" s="23"/>
      <c r="M47" s="23"/>
    </row>
    <row r="48" customFormat="false" ht="15" hidden="false" customHeight="false" outlineLevel="0" collapsed="false">
      <c r="A48" s="22"/>
      <c r="B48" s="23"/>
      <c r="C48" s="23"/>
      <c r="D48" s="23"/>
      <c r="E48" s="23"/>
      <c r="F48" s="23"/>
      <c r="G48" s="23"/>
      <c r="H48" s="23" t="str">
        <f aca="false">IF(COUNT(D48:G48)=0,"",COUNT(D48:G48))</f>
        <v/>
      </c>
      <c r="I48" s="23"/>
      <c r="J48" s="23"/>
      <c r="K48" s="23"/>
      <c r="L48" s="23"/>
      <c r="M48" s="23"/>
    </row>
    <row r="49" customFormat="false" ht="15" hidden="false" customHeight="false" outlineLevel="0" collapsed="false">
      <c r="A49" s="22"/>
      <c r="B49" s="23"/>
      <c r="C49" s="23"/>
      <c r="D49" s="23"/>
      <c r="E49" s="23"/>
      <c r="F49" s="23"/>
      <c r="G49" s="23"/>
      <c r="H49" s="23" t="str">
        <f aca="false">IF(COUNT(D49:G49)=0,"",COUNT(D49:G49))</f>
        <v/>
      </c>
      <c r="I49" s="23"/>
      <c r="J49" s="23"/>
      <c r="K49" s="23"/>
      <c r="L49" s="23"/>
      <c r="M49" s="23"/>
    </row>
    <row r="50" customFormat="false" ht="15" hidden="false" customHeight="false" outlineLevel="0" collapsed="false">
      <c r="A50" s="22"/>
      <c r="B50" s="23"/>
      <c r="C50" s="23"/>
      <c r="D50" s="23"/>
      <c r="E50" s="23"/>
      <c r="F50" s="23"/>
      <c r="G50" s="23"/>
      <c r="H50" s="23" t="str">
        <f aca="false">IF(COUNT(D50:G50)=0,"",COUNT(D50:G50))</f>
        <v/>
      </c>
      <c r="I50" s="23"/>
      <c r="J50" s="23"/>
      <c r="K50" s="23"/>
      <c r="L50" s="23"/>
      <c r="M50" s="23"/>
    </row>
    <row r="51" customFormat="false" ht="15" hidden="false" customHeight="false" outlineLevel="0" collapsed="false">
      <c r="A51" s="22"/>
      <c r="B51" s="23"/>
      <c r="C51" s="23"/>
      <c r="D51" s="23"/>
      <c r="E51" s="23"/>
      <c r="F51" s="23"/>
      <c r="G51" s="23"/>
      <c r="H51" s="23" t="str">
        <f aca="false">IF(COUNT(D51:G51)=0,"",COUNT(D51:G51))</f>
        <v/>
      </c>
      <c r="I51" s="23"/>
      <c r="J51" s="23"/>
      <c r="K51" s="23"/>
      <c r="L51" s="23"/>
      <c r="M51" s="23"/>
    </row>
    <row r="52" customFormat="false" ht="15" hidden="false" customHeight="false" outlineLevel="0" collapsed="false">
      <c r="A52" s="22"/>
      <c r="B52" s="23"/>
      <c r="C52" s="23"/>
      <c r="D52" s="23"/>
      <c r="E52" s="23"/>
      <c r="F52" s="23"/>
      <c r="G52" s="23"/>
      <c r="H52" s="23" t="str">
        <f aca="false">IF(COUNT(D52:G52)=0,"",COUNT(D52:G52))</f>
        <v/>
      </c>
      <c r="I52" s="23"/>
      <c r="J52" s="23"/>
      <c r="K52" s="23"/>
      <c r="L52" s="23"/>
      <c r="M52" s="23"/>
    </row>
    <row r="53" customFormat="false" ht="15" hidden="false" customHeight="false" outlineLevel="0" collapsed="false">
      <c r="A53" s="22"/>
      <c r="B53" s="23"/>
      <c r="C53" s="23"/>
      <c r="D53" s="23"/>
      <c r="E53" s="23"/>
      <c r="F53" s="23"/>
      <c r="G53" s="23"/>
      <c r="H53" s="23" t="str">
        <f aca="false">IF(COUNT(D53:G53)=0,"",COUNT(D53:G53))</f>
        <v/>
      </c>
      <c r="I53" s="23"/>
      <c r="J53" s="23"/>
      <c r="K53" s="23"/>
      <c r="L53" s="23"/>
      <c r="M53" s="23"/>
    </row>
    <row r="54" customFormat="false" ht="15" hidden="false" customHeight="false" outlineLevel="0" collapsed="false">
      <c r="A54" s="22"/>
      <c r="B54" s="23"/>
      <c r="C54" s="23"/>
      <c r="D54" s="23"/>
      <c r="E54" s="23"/>
      <c r="F54" s="23"/>
      <c r="G54" s="23"/>
      <c r="H54" s="23" t="str">
        <f aca="false">IF(COUNT(D54:G54)=0,"",COUNT(D54:G54))</f>
        <v/>
      </c>
      <c r="I54" s="23"/>
      <c r="J54" s="23"/>
      <c r="K54" s="23"/>
      <c r="L54" s="23"/>
      <c r="M54" s="23"/>
    </row>
    <row r="55" customFormat="false" ht="15" hidden="false" customHeight="false" outlineLevel="0" collapsed="false">
      <c r="A55" s="22"/>
      <c r="B55" s="23"/>
      <c r="C55" s="23"/>
      <c r="D55" s="23"/>
      <c r="E55" s="23"/>
      <c r="F55" s="23"/>
      <c r="G55" s="23"/>
      <c r="H55" s="23" t="str">
        <f aca="false">IF(COUNT(D55:G55)=0,"",COUNT(D55:G55))</f>
        <v/>
      </c>
      <c r="I55" s="23"/>
      <c r="J55" s="23"/>
      <c r="K55" s="23"/>
      <c r="L55" s="23"/>
      <c r="M55" s="23"/>
    </row>
    <row r="56" customFormat="false" ht="15" hidden="false" customHeight="false" outlineLevel="0" collapsed="false">
      <c r="A56" s="22"/>
      <c r="B56" s="23"/>
      <c r="C56" s="23"/>
      <c r="D56" s="23"/>
      <c r="E56" s="23"/>
      <c r="F56" s="23"/>
      <c r="G56" s="23"/>
      <c r="H56" s="23" t="str">
        <f aca="false">IF(COUNT(D56:G56)=0,"",COUNT(D56:G56))</f>
        <v/>
      </c>
      <c r="I56" s="23"/>
      <c r="J56" s="23"/>
      <c r="K56" s="23"/>
      <c r="L56" s="23"/>
      <c r="M56" s="23"/>
    </row>
    <row r="57" customFormat="false" ht="15" hidden="false" customHeight="false" outlineLevel="0" collapsed="false">
      <c r="A57" s="22"/>
      <c r="B57" s="23"/>
      <c r="C57" s="23"/>
      <c r="D57" s="23"/>
      <c r="E57" s="23"/>
      <c r="F57" s="23"/>
      <c r="G57" s="23"/>
      <c r="H57" s="23" t="str">
        <f aca="false">IF(COUNT(D57:G57)=0,"",COUNT(D57:G57))</f>
        <v/>
      </c>
      <c r="I57" s="23"/>
      <c r="J57" s="23"/>
      <c r="K57" s="23"/>
      <c r="L57" s="23"/>
      <c r="M57" s="23"/>
    </row>
    <row r="58" customFormat="false" ht="15" hidden="false" customHeight="false" outlineLevel="0" collapsed="false">
      <c r="A58" s="22"/>
      <c r="B58" s="23"/>
      <c r="C58" s="23"/>
      <c r="D58" s="23"/>
      <c r="E58" s="23"/>
      <c r="F58" s="23"/>
      <c r="G58" s="23"/>
      <c r="H58" s="23" t="str">
        <f aca="false">IF(COUNT(D58:G58)=0,"",COUNT(D58:G58))</f>
        <v/>
      </c>
      <c r="I58" s="23"/>
      <c r="J58" s="23"/>
      <c r="K58" s="23"/>
      <c r="L58" s="23"/>
      <c r="M58" s="23"/>
    </row>
    <row r="59" customFormat="false" ht="15" hidden="false" customHeight="false" outlineLevel="0" collapsed="false">
      <c r="A59" s="22"/>
      <c r="B59" s="23"/>
      <c r="C59" s="23"/>
      <c r="D59" s="23"/>
      <c r="E59" s="23"/>
      <c r="F59" s="23"/>
      <c r="G59" s="23"/>
      <c r="H59" s="23" t="str">
        <f aca="false">IF(COUNT(D59:G59)=0,"",COUNT(D59:G59))</f>
        <v/>
      </c>
      <c r="I59" s="23"/>
      <c r="J59" s="23"/>
      <c r="K59" s="23"/>
      <c r="L59" s="23"/>
      <c r="M59" s="23"/>
    </row>
    <row r="60" customFormat="false" ht="15" hidden="false" customHeight="false" outlineLevel="0" collapsed="false">
      <c r="A60" s="22"/>
      <c r="B60" s="23"/>
      <c r="C60" s="23"/>
      <c r="D60" s="23"/>
      <c r="E60" s="23"/>
      <c r="F60" s="23"/>
      <c r="G60" s="23"/>
      <c r="H60" s="23" t="str">
        <f aca="false">IF(COUNT(D60:G60)=0,"",COUNT(D60:G60))</f>
        <v/>
      </c>
      <c r="I60" s="23"/>
      <c r="J60" s="23"/>
      <c r="K60" s="23"/>
      <c r="L60" s="23"/>
      <c r="M60" s="23"/>
    </row>
    <row r="61" customFormat="false" ht="15" hidden="false" customHeight="false" outlineLevel="0" collapsed="false">
      <c r="A61" s="22"/>
      <c r="B61" s="23"/>
      <c r="C61" s="23"/>
      <c r="D61" s="23"/>
      <c r="E61" s="23"/>
      <c r="F61" s="23"/>
      <c r="G61" s="23"/>
      <c r="H61" s="23" t="str">
        <f aca="false">IF(COUNT(D61:G61)=0,"",COUNT(D61:G61))</f>
        <v/>
      </c>
      <c r="I61" s="23"/>
      <c r="J61" s="23"/>
      <c r="K61" s="23"/>
      <c r="L61" s="23"/>
      <c r="M61" s="23"/>
    </row>
    <row r="62" customFormat="false" ht="15" hidden="false" customHeight="false" outlineLevel="0" collapsed="false">
      <c r="A62" s="22"/>
      <c r="B62" s="23"/>
      <c r="C62" s="23"/>
      <c r="D62" s="23"/>
      <c r="E62" s="23"/>
      <c r="F62" s="23"/>
      <c r="G62" s="23"/>
      <c r="H62" s="23" t="str">
        <f aca="false">IF(COUNT(D62:G62)=0,"",COUNT(D62:G62))</f>
        <v/>
      </c>
      <c r="I62" s="23"/>
      <c r="J62" s="23"/>
      <c r="K62" s="23"/>
      <c r="L62" s="23"/>
      <c r="M62" s="23"/>
    </row>
    <row r="63" customFormat="false" ht="15" hidden="false" customHeight="false" outlineLevel="0" collapsed="false">
      <c r="A63" s="22"/>
      <c r="B63" s="23"/>
      <c r="C63" s="23"/>
      <c r="D63" s="23"/>
      <c r="E63" s="23"/>
      <c r="F63" s="23"/>
      <c r="G63" s="23"/>
      <c r="H63" s="23" t="str">
        <f aca="false">IF(COUNT(D63:G63)=0,"",COUNT(D63:G63))</f>
        <v/>
      </c>
      <c r="I63" s="23"/>
      <c r="J63" s="23"/>
      <c r="K63" s="23"/>
      <c r="L63" s="23"/>
      <c r="M63" s="23"/>
    </row>
    <row r="64" customFormat="false" ht="15" hidden="false" customHeight="false" outlineLevel="0" collapsed="false">
      <c r="A64" s="22"/>
      <c r="B64" s="23"/>
      <c r="C64" s="23"/>
      <c r="D64" s="23"/>
      <c r="E64" s="23"/>
      <c r="F64" s="23"/>
      <c r="G64" s="23"/>
      <c r="H64" s="23" t="str">
        <f aca="false">IF(COUNT(D64:G64)=0,"",COUNT(D64:G64))</f>
        <v/>
      </c>
      <c r="I64" s="23"/>
      <c r="J64" s="23"/>
      <c r="K64" s="23"/>
      <c r="L64" s="23"/>
      <c r="M64" s="23"/>
    </row>
    <row r="65" customFormat="false" ht="15" hidden="false" customHeight="false" outlineLevel="0" collapsed="false">
      <c r="A65" s="22"/>
      <c r="B65" s="23"/>
      <c r="C65" s="23"/>
      <c r="D65" s="23"/>
      <c r="E65" s="23"/>
      <c r="F65" s="23"/>
      <c r="G65" s="23"/>
      <c r="H65" s="23" t="str">
        <f aca="false">IF(COUNT(D65:G65)=0,"",COUNT(D65:G65))</f>
        <v/>
      </c>
      <c r="I65" s="23"/>
      <c r="J65" s="23"/>
      <c r="K65" s="23"/>
      <c r="L65" s="23"/>
      <c r="M65" s="23"/>
    </row>
    <row r="66" customFormat="false" ht="15" hidden="false" customHeight="false" outlineLevel="0" collapsed="false">
      <c r="A66" s="22"/>
      <c r="B66" s="23"/>
      <c r="C66" s="23"/>
      <c r="D66" s="23"/>
      <c r="E66" s="23"/>
      <c r="F66" s="23"/>
      <c r="G66" s="23"/>
      <c r="H66" s="23" t="str">
        <f aca="false">IF(COUNT(D66:G66)=0,"",COUNT(D66:G66))</f>
        <v/>
      </c>
      <c r="I66" s="23"/>
      <c r="J66" s="23"/>
      <c r="K66" s="23"/>
      <c r="L66" s="23"/>
      <c r="M66" s="23"/>
    </row>
    <row r="67" customFormat="false" ht="15" hidden="false" customHeight="false" outlineLevel="0" collapsed="false">
      <c r="A67" s="22"/>
      <c r="B67" s="23"/>
      <c r="C67" s="23"/>
      <c r="D67" s="23"/>
      <c r="E67" s="23"/>
      <c r="F67" s="23"/>
      <c r="G67" s="23"/>
      <c r="H67" s="23" t="str">
        <f aca="false">IF(COUNT(D67:G67)=0,"",COUNT(D67:G67))</f>
        <v/>
      </c>
      <c r="I67" s="23"/>
      <c r="J67" s="23"/>
      <c r="K67" s="23"/>
      <c r="L67" s="23"/>
      <c r="M67" s="23"/>
    </row>
    <row r="68" customFormat="false" ht="15" hidden="false" customHeight="false" outlineLevel="0" collapsed="false">
      <c r="A68" s="22"/>
      <c r="B68" s="23"/>
      <c r="C68" s="23"/>
      <c r="D68" s="23"/>
      <c r="E68" s="23"/>
      <c r="F68" s="23"/>
      <c r="G68" s="23"/>
      <c r="H68" s="23" t="str">
        <f aca="false">IF(COUNT(D68:G68)=0,"",COUNT(D68:G68))</f>
        <v/>
      </c>
      <c r="I68" s="23"/>
      <c r="J68" s="23"/>
      <c r="K68" s="23"/>
      <c r="L68" s="23"/>
      <c r="M68" s="23"/>
    </row>
    <row r="69" customFormat="false" ht="15" hidden="false" customHeight="false" outlineLevel="0" collapsed="false">
      <c r="A69" s="22"/>
      <c r="B69" s="23"/>
      <c r="C69" s="23"/>
      <c r="D69" s="23"/>
      <c r="E69" s="23"/>
      <c r="F69" s="23"/>
      <c r="G69" s="23"/>
      <c r="H69" s="23" t="str">
        <f aca="false">IF(COUNT(D69:G69)=0,"",COUNT(D69:G69))</f>
        <v/>
      </c>
      <c r="I69" s="23"/>
      <c r="J69" s="23"/>
      <c r="K69" s="23"/>
      <c r="L69" s="23"/>
      <c r="M69" s="23"/>
    </row>
    <row r="70" customFormat="false" ht="15" hidden="false" customHeight="false" outlineLevel="0" collapsed="false">
      <c r="A70" s="22"/>
      <c r="B70" s="23"/>
      <c r="C70" s="23"/>
      <c r="D70" s="23"/>
      <c r="E70" s="23"/>
      <c r="F70" s="23"/>
      <c r="G70" s="23"/>
      <c r="H70" s="23" t="str">
        <f aca="false">IF(COUNT(D70:G70)=0,"",COUNT(D70:G70))</f>
        <v/>
      </c>
      <c r="I70" s="23"/>
      <c r="J70" s="23"/>
      <c r="K70" s="23"/>
      <c r="L70" s="23"/>
      <c r="M70" s="23"/>
    </row>
    <row r="71" customFormat="false" ht="15" hidden="false" customHeight="false" outlineLevel="0" collapsed="false">
      <c r="A71" s="22"/>
      <c r="B71" s="23"/>
      <c r="C71" s="23"/>
      <c r="D71" s="23"/>
      <c r="E71" s="23"/>
      <c r="F71" s="23"/>
      <c r="G71" s="23"/>
      <c r="H71" s="23" t="str">
        <f aca="false">IF(COUNT(D71:G71)=0,"",COUNT(D71:G71))</f>
        <v/>
      </c>
      <c r="I71" s="23"/>
      <c r="J71" s="23"/>
      <c r="K71" s="23"/>
      <c r="L71" s="23"/>
      <c r="M71" s="23"/>
    </row>
    <row r="72" customFormat="false" ht="15" hidden="false" customHeight="false" outlineLevel="0" collapsed="false">
      <c r="A72" s="22"/>
      <c r="B72" s="23"/>
      <c r="C72" s="23"/>
      <c r="D72" s="23"/>
      <c r="E72" s="23"/>
      <c r="F72" s="23"/>
      <c r="G72" s="23"/>
      <c r="H72" s="23" t="str">
        <f aca="false">IF(COUNT(D72:G72)=0,"",COUNT(D72:G72))</f>
        <v/>
      </c>
      <c r="I72" s="23"/>
      <c r="J72" s="23"/>
      <c r="K72" s="23"/>
      <c r="L72" s="23"/>
      <c r="M72" s="23"/>
    </row>
    <row r="73" customFormat="false" ht="15" hidden="false" customHeight="false" outlineLevel="0" collapsed="false">
      <c r="A73" s="22"/>
      <c r="B73" s="23"/>
      <c r="C73" s="23"/>
      <c r="D73" s="23"/>
      <c r="E73" s="23"/>
      <c r="F73" s="23"/>
      <c r="G73" s="23"/>
      <c r="H73" s="23" t="str">
        <f aca="false">IF(COUNT(D73:G73)=0,"",COUNT(D73:G73))</f>
        <v/>
      </c>
      <c r="I73" s="23"/>
      <c r="J73" s="23"/>
      <c r="K73" s="23"/>
      <c r="L73" s="23"/>
      <c r="M73" s="23"/>
    </row>
    <row r="74" customFormat="false" ht="15" hidden="false" customHeight="false" outlineLevel="0" collapsed="false">
      <c r="A74" s="22"/>
      <c r="B74" s="23"/>
      <c r="C74" s="23"/>
      <c r="D74" s="23"/>
      <c r="E74" s="23"/>
      <c r="F74" s="23"/>
      <c r="G74" s="23"/>
      <c r="H74" s="23" t="str">
        <f aca="false">IF(COUNT(D74:G74)=0,"",COUNT(D74:G74))</f>
        <v/>
      </c>
      <c r="I74" s="23"/>
      <c r="J74" s="23"/>
      <c r="K74" s="23"/>
      <c r="L74" s="23"/>
      <c r="M74" s="23"/>
    </row>
    <row r="75" customFormat="false" ht="15" hidden="false" customHeight="false" outlineLevel="0" collapsed="false">
      <c r="A75" s="22"/>
      <c r="B75" s="23"/>
      <c r="C75" s="23"/>
      <c r="D75" s="23"/>
      <c r="E75" s="23"/>
      <c r="F75" s="23"/>
      <c r="G75" s="23"/>
      <c r="H75" s="23" t="str">
        <f aca="false">IF(COUNT(D75:G75)=0,"",COUNT(D75:G75))</f>
        <v/>
      </c>
      <c r="I75" s="23"/>
      <c r="J75" s="23"/>
      <c r="K75" s="23"/>
      <c r="L75" s="23"/>
      <c r="M75" s="23"/>
    </row>
    <row r="76" customFormat="false" ht="15" hidden="false" customHeight="false" outlineLevel="0" collapsed="false">
      <c r="A76" s="22"/>
      <c r="B76" s="23"/>
      <c r="C76" s="23"/>
      <c r="D76" s="23"/>
      <c r="E76" s="23"/>
      <c r="F76" s="23"/>
      <c r="G76" s="23"/>
      <c r="H76" s="23" t="str">
        <f aca="false">IF(COUNT(D76:G76)=0,"",COUNT(D76:G76))</f>
        <v/>
      </c>
      <c r="I76" s="23"/>
      <c r="J76" s="23"/>
      <c r="K76" s="23"/>
      <c r="L76" s="23"/>
      <c r="M76" s="23"/>
    </row>
    <row r="77" customFormat="false" ht="15" hidden="false" customHeight="false" outlineLevel="0" collapsed="false">
      <c r="A77" s="22"/>
      <c r="B77" s="23"/>
      <c r="C77" s="23"/>
      <c r="D77" s="23"/>
      <c r="E77" s="23"/>
      <c r="F77" s="23"/>
      <c r="G77" s="23"/>
      <c r="H77" s="23" t="str">
        <f aca="false">IF(COUNT(D77:G77)=0,"",COUNT(D77:G77))</f>
        <v/>
      </c>
      <c r="I77" s="23"/>
      <c r="J77" s="23"/>
      <c r="K77" s="23"/>
      <c r="L77" s="23"/>
      <c r="M77" s="23"/>
    </row>
    <row r="78" customFormat="false" ht="15" hidden="false" customHeight="false" outlineLevel="0" collapsed="false">
      <c r="A78" s="22"/>
      <c r="B78" s="23"/>
      <c r="C78" s="23"/>
      <c r="D78" s="23"/>
      <c r="E78" s="23"/>
      <c r="F78" s="23"/>
      <c r="G78" s="23"/>
      <c r="H78" s="23" t="str">
        <f aca="false">IF(COUNT(D78:G78)=0,"",COUNT(D78:G78))</f>
        <v/>
      </c>
      <c r="I78" s="23"/>
      <c r="J78" s="23"/>
      <c r="K78" s="23"/>
      <c r="L78" s="23"/>
      <c r="M78" s="23"/>
    </row>
    <row r="79" customFormat="false" ht="15" hidden="false" customHeight="false" outlineLevel="0" collapsed="false">
      <c r="A79" s="22"/>
      <c r="B79" s="23"/>
      <c r="C79" s="23"/>
      <c r="D79" s="23"/>
      <c r="E79" s="23"/>
      <c r="F79" s="23"/>
      <c r="G79" s="23"/>
      <c r="H79" s="23" t="str">
        <f aca="false">IF(COUNT(D79:G79)=0,"",COUNT(D79:G79))</f>
        <v/>
      </c>
      <c r="I79" s="23"/>
      <c r="J79" s="23"/>
      <c r="K79" s="23"/>
      <c r="L79" s="23"/>
      <c r="M79" s="23"/>
    </row>
    <row r="80" customFormat="false" ht="15" hidden="false" customHeight="false" outlineLevel="0" collapsed="false">
      <c r="A80" s="22"/>
      <c r="B80" s="23"/>
      <c r="C80" s="23"/>
      <c r="D80" s="23"/>
      <c r="E80" s="23"/>
      <c r="F80" s="23"/>
      <c r="G80" s="23"/>
      <c r="H80" s="23" t="str">
        <f aca="false">IF(COUNT(D80:G80)=0,"",COUNT(D80:G80))</f>
        <v/>
      </c>
      <c r="I80" s="23"/>
      <c r="J80" s="23"/>
      <c r="K80" s="23"/>
      <c r="L80" s="23"/>
      <c r="M80" s="23"/>
    </row>
    <row r="81" customFormat="false" ht="15" hidden="false" customHeight="false" outlineLevel="0" collapsed="false">
      <c r="A81" s="22"/>
      <c r="B81" s="23"/>
      <c r="C81" s="23"/>
      <c r="D81" s="23"/>
      <c r="E81" s="23"/>
      <c r="F81" s="23"/>
      <c r="G81" s="23"/>
      <c r="H81" s="23" t="str">
        <f aca="false">IF(COUNT(D81:G81)=0,"",COUNT(D81:G81))</f>
        <v/>
      </c>
      <c r="I81" s="23"/>
      <c r="J81" s="23"/>
      <c r="K81" s="23"/>
      <c r="L81" s="23"/>
      <c r="M81" s="23"/>
    </row>
    <row r="82" customFormat="false" ht="15" hidden="false" customHeight="false" outlineLevel="0" collapsed="false">
      <c r="A82" s="22"/>
      <c r="B82" s="23"/>
      <c r="C82" s="23"/>
      <c r="D82" s="23"/>
      <c r="E82" s="23"/>
      <c r="F82" s="23"/>
      <c r="G82" s="23"/>
      <c r="H82" s="23" t="str">
        <f aca="false">IF(COUNT(D82:G82)=0,"",COUNT(D82:G82))</f>
        <v/>
      </c>
      <c r="I82" s="23"/>
      <c r="J82" s="23"/>
      <c r="K82" s="23"/>
      <c r="L82" s="23"/>
      <c r="M82" s="23"/>
    </row>
    <row r="83" customFormat="false" ht="15" hidden="false" customHeight="false" outlineLevel="0" collapsed="false">
      <c r="A83" s="22"/>
      <c r="B83" s="23"/>
      <c r="C83" s="23"/>
      <c r="D83" s="23"/>
      <c r="E83" s="23"/>
      <c r="F83" s="23"/>
      <c r="G83" s="23"/>
      <c r="H83" s="23" t="str">
        <f aca="false">IF(COUNT(D83:G83)=0,"",COUNT(D83:G83))</f>
        <v/>
      </c>
      <c r="I83" s="23"/>
      <c r="J83" s="23"/>
      <c r="K83" s="23"/>
      <c r="L83" s="23"/>
      <c r="M83" s="23"/>
    </row>
    <row r="84" customFormat="false" ht="15" hidden="false" customHeight="false" outlineLevel="0" collapsed="false">
      <c r="A84" s="22"/>
      <c r="B84" s="23"/>
      <c r="C84" s="23"/>
      <c r="D84" s="23"/>
      <c r="E84" s="23"/>
      <c r="F84" s="23"/>
      <c r="G84" s="23"/>
      <c r="H84" s="23" t="str">
        <f aca="false">IF(COUNT(D84:G84)=0,"",COUNT(D84:G84))</f>
        <v/>
      </c>
      <c r="I84" s="23"/>
      <c r="J84" s="23"/>
      <c r="K84" s="23"/>
      <c r="L84" s="23"/>
      <c r="M84" s="23"/>
    </row>
    <row r="85" customFormat="false" ht="15" hidden="false" customHeight="false" outlineLevel="0" collapsed="false">
      <c r="A85" s="22"/>
      <c r="B85" s="23"/>
      <c r="C85" s="23"/>
      <c r="D85" s="23"/>
      <c r="E85" s="23"/>
      <c r="F85" s="23"/>
      <c r="G85" s="23"/>
      <c r="H85" s="23" t="str">
        <f aca="false">IF(COUNT(D85:G85)=0,"",COUNT(D85:G85))</f>
        <v/>
      </c>
      <c r="I85" s="23"/>
      <c r="J85" s="23"/>
      <c r="K85" s="23"/>
      <c r="L85" s="23"/>
      <c r="M85" s="23"/>
    </row>
    <row r="86" customFormat="false" ht="15" hidden="false" customHeight="false" outlineLevel="0" collapsed="false">
      <c r="A86" s="22"/>
      <c r="B86" s="23"/>
      <c r="C86" s="23"/>
      <c r="D86" s="23"/>
      <c r="E86" s="23"/>
      <c r="F86" s="23"/>
      <c r="G86" s="23"/>
      <c r="H86" s="23" t="str">
        <f aca="false">IF(COUNT(D86:G86)=0,"",COUNT(D86:G86))</f>
        <v/>
      </c>
      <c r="I86" s="23"/>
      <c r="J86" s="23"/>
      <c r="K86" s="23"/>
      <c r="L86" s="23"/>
      <c r="M86" s="23"/>
    </row>
    <row r="87" customFormat="false" ht="15" hidden="false" customHeight="false" outlineLevel="0" collapsed="false">
      <c r="A87" s="22"/>
      <c r="B87" s="23"/>
      <c r="C87" s="23"/>
      <c r="D87" s="23"/>
      <c r="E87" s="23"/>
      <c r="F87" s="23"/>
      <c r="G87" s="23"/>
      <c r="H87" s="23" t="str">
        <f aca="false">IF(COUNT(D87:G87)=0,"",COUNT(D87:G87))</f>
        <v/>
      </c>
      <c r="I87" s="23"/>
      <c r="J87" s="23"/>
      <c r="K87" s="23"/>
      <c r="L87" s="23"/>
      <c r="M87" s="23"/>
    </row>
    <row r="88" customFormat="false" ht="15" hidden="false" customHeight="false" outlineLevel="0" collapsed="false">
      <c r="A88" s="22"/>
      <c r="B88" s="23"/>
      <c r="C88" s="23"/>
      <c r="D88" s="23"/>
      <c r="E88" s="23"/>
      <c r="F88" s="23"/>
      <c r="G88" s="23"/>
      <c r="H88" s="23" t="str">
        <f aca="false">IF(COUNT(D88:G88)=0,"",COUNT(D88:G88))</f>
        <v/>
      </c>
      <c r="I88" s="23"/>
      <c r="J88" s="23"/>
      <c r="K88" s="23"/>
      <c r="L88" s="23"/>
      <c r="M88" s="23"/>
    </row>
    <row r="89" customFormat="false" ht="15" hidden="false" customHeight="false" outlineLevel="0" collapsed="false">
      <c r="A89" s="22"/>
      <c r="B89" s="23"/>
      <c r="C89" s="23"/>
      <c r="D89" s="23"/>
      <c r="E89" s="23"/>
      <c r="F89" s="23"/>
      <c r="G89" s="23"/>
      <c r="H89" s="23" t="str">
        <f aca="false">IF(COUNT(D89:G89)=0,"",COUNT(D89:G89))</f>
        <v/>
      </c>
      <c r="I89" s="23"/>
      <c r="J89" s="23"/>
      <c r="K89" s="23"/>
      <c r="L89" s="23"/>
      <c r="M89" s="23"/>
    </row>
    <row r="90" customFormat="false" ht="15" hidden="false" customHeight="false" outlineLevel="0" collapsed="false">
      <c r="A90" s="22"/>
      <c r="B90" s="23"/>
      <c r="C90" s="23"/>
      <c r="D90" s="23"/>
      <c r="E90" s="23"/>
      <c r="F90" s="23"/>
      <c r="G90" s="23"/>
      <c r="H90" s="23" t="str">
        <f aca="false">IF(COUNT(D90:G90)=0,"",COUNT(D90:G90))</f>
        <v/>
      </c>
      <c r="I90" s="23"/>
      <c r="J90" s="23"/>
      <c r="K90" s="23"/>
      <c r="L90" s="23"/>
      <c r="M90" s="23"/>
    </row>
    <row r="91" customFormat="false" ht="15" hidden="false" customHeight="false" outlineLevel="0" collapsed="false">
      <c r="A91" s="22"/>
      <c r="B91" s="23"/>
      <c r="C91" s="23"/>
      <c r="D91" s="23"/>
      <c r="E91" s="23"/>
      <c r="F91" s="23"/>
      <c r="G91" s="23"/>
      <c r="H91" s="23" t="str">
        <f aca="false">IF(COUNT(D91:G91)=0,"",COUNT(D91:G91))</f>
        <v/>
      </c>
      <c r="I91" s="23"/>
      <c r="J91" s="23"/>
      <c r="K91" s="23"/>
      <c r="L91" s="23"/>
      <c r="M91" s="23"/>
    </row>
    <row r="92" customFormat="false" ht="15" hidden="false" customHeight="false" outlineLevel="0" collapsed="false">
      <c r="A92" s="22"/>
      <c r="B92" s="23"/>
      <c r="C92" s="23"/>
      <c r="D92" s="23"/>
      <c r="E92" s="23"/>
      <c r="F92" s="23"/>
      <c r="G92" s="23"/>
      <c r="H92" s="23" t="str">
        <f aca="false">IF(COUNT(D92:G92)=0,"",COUNT(D92:G92))</f>
        <v/>
      </c>
      <c r="I92" s="23"/>
      <c r="J92" s="23"/>
      <c r="K92" s="23"/>
      <c r="L92" s="23"/>
      <c r="M92" s="23"/>
    </row>
    <row r="93" customFormat="false" ht="15" hidden="false" customHeight="false" outlineLevel="0" collapsed="false">
      <c r="A93" s="22"/>
      <c r="B93" s="23"/>
      <c r="C93" s="23"/>
      <c r="D93" s="23"/>
      <c r="E93" s="23"/>
      <c r="F93" s="23"/>
      <c r="G93" s="23"/>
      <c r="H93" s="23" t="str">
        <f aca="false">IF(COUNT(D93:G93)=0,"",COUNT(D93:G93))</f>
        <v/>
      </c>
      <c r="I93" s="23"/>
      <c r="J93" s="23"/>
      <c r="K93" s="23"/>
      <c r="L93" s="23"/>
      <c r="M93" s="23"/>
    </row>
    <row r="94" customFormat="false" ht="15" hidden="false" customHeight="false" outlineLevel="0" collapsed="false">
      <c r="A94" s="22"/>
      <c r="B94" s="23"/>
      <c r="C94" s="23"/>
      <c r="D94" s="23"/>
      <c r="E94" s="23"/>
      <c r="F94" s="23"/>
      <c r="G94" s="23"/>
      <c r="H94" s="23" t="str">
        <f aca="false">IF(COUNT(D94:G94)=0,"",COUNT(D94:G94))</f>
        <v/>
      </c>
      <c r="I94" s="23"/>
      <c r="J94" s="23"/>
      <c r="K94" s="23"/>
      <c r="L94" s="23"/>
      <c r="M94" s="23"/>
    </row>
    <row r="95" customFormat="false" ht="15" hidden="false" customHeight="false" outlineLevel="0" collapsed="false">
      <c r="A95" s="22"/>
      <c r="B95" s="23"/>
      <c r="C95" s="23"/>
      <c r="D95" s="23"/>
      <c r="E95" s="23"/>
      <c r="F95" s="23"/>
      <c r="G95" s="23"/>
      <c r="H95" s="23" t="str">
        <f aca="false">IF(COUNT(D95:G95)=0,"",COUNT(D95:G95))</f>
        <v/>
      </c>
      <c r="I95" s="23"/>
      <c r="J95" s="23"/>
      <c r="K95" s="23"/>
      <c r="L95" s="23"/>
      <c r="M95" s="23"/>
    </row>
    <row r="96" customFormat="false" ht="15" hidden="false" customHeight="false" outlineLevel="0" collapsed="false">
      <c r="A96" s="22"/>
      <c r="B96" s="23"/>
      <c r="C96" s="23"/>
      <c r="D96" s="23"/>
      <c r="E96" s="23"/>
      <c r="F96" s="23"/>
      <c r="G96" s="23"/>
      <c r="H96" s="23" t="str">
        <f aca="false">IF(COUNT(D96:G96)=0,"",COUNT(D96:G96))</f>
        <v/>
      </c>
      <c r="I96" s="23"/>
      <c r="J96" s="23"/>
      <c r="K96" s="23"/>
      <c r="L96" s="23"/>
      <c r="M96" s="23"/>
    </row>
    <row r="97" customFormat="false" ht="15" hidden="false" customHeight="false" outlineLevel="0" collapsed="false">
      <c r="A97" s="22"/>
      <c r="B97" s="23"/>
      <c r="C97" s="23"/>
      <c r="D97" s="23"/>
      <c r="E97" s="23"/>
      <c r="F97" s="23"/>
      <c r="G97" s="23"/>
      <c r="H97" s="23" t="str">
        <f aca="false">IF(COUNT(D97:G97)=0,"",COUNT(D97:G97))</f>
        <v/>
      </c>
      <c r="I97" s="23"/>
      <c r="J97" s="23"/>
      <c r="K97" s="23"/>
      <c r="L97" s="23"/>
      <c r="M97" s="23"/>
    </row>
    <row r="98" customFormat="false" ht="15" hidden="false" customHeight="false" outlineLevel="0" collapsed="false">
      <c r="A98" s="22"/>
      <c r="B98" s="23"/>
      <c r="C98" s="23"/>
      <c r="D98" s="23"/>
      <c r="E98" s="23"/>
      <c r="F98" s="23"/>
      <c r="G98" s="23"/>
      <c r="H98" s="23" t="str">
        <f aca="false">IF(COUNT(D98:G98)=0,"",COUNT(D98:G98))</f>
        <v/>
      </c>
      <c r="I98" s="23"/>
      <c r="J98" s="23"/>
      <c r="K98" s="23"/>
      <c r="L98" s="23"/>
      <c r="M98" s="23"/>
    </row>
    <row r="99" customFormat="false" ht="15" hidden="false" customHeight="false" outlineLevel="0" collapsed="false">
      <c r="A99" s="22"/>
      <c r="B99" s="23"/>
      <c r="C99" s="23"/>
      <c r="D99" s="23"/>
      <c r="E99" s="23"/>
      <c r="F99" s="23"/>
      <c r="G99" s="23"/>
      <c r="H99" s="23" t="str">
        <f aca="false">IF(COUNT(D99:G99)=0,"",COUNT(D99:G99))</f>
        <v/>
      </c>
      <c r="I99" s="23"/>
      <c r="J99" s="23"/>
      <c r="K99" s="23"/>
      <c r="L99" s="23"/>
      <c r="M99" s="23"/>
    </row>
    <row r="100" customFormat="false" ht="15" hidden="false" customHeight="false" outlineLevel="0" collapsed="false">
      <c r="A100" s="22"/>
      <c r="B100" s="23"/>
      <c r="C100" s="23"/>
      <c r="D100" s="23"/>
      <c r="E100" s="23"/>
      <c r="F100" s="23"/>
      <c r="G100" s="23"/>
      <c r="H100" s="23" t="str">
        <f aca="false">IF(COUNT(D100:G100)=0,"",COUNT(D100:G100))</f>
        <v/>
      </c>
      <c r="I100" s="23"/>
      <c r="J100" s="23"/>
      <c r="K100" s="23"/>
      <c r="L100" s="23"/>
      <c r="M100" s="23"/>
    </row>
    <row r="101" customFormat="false" ht="15" hidden="false" customHeight="false" outlineLevel="0" collapsed="false">
      <c r="A101" s="22"/>
      <c r="B101" s="23"/>
      <c r="C101" s="23"/>
      <c r="D101" s="23"/>
      <c r="E101" s="23"/>
      <c r="F101" s="23"/>
      <c r="G101" s="23"/>
      <c r="H101" s="23" t="str">
        <f aca="false">IF(COUNT(D101:G101)=0,"",COUNT(D101:G101))</f>
        <v/>
      </c>
      <c r="I101" s="23"/>
      <c r="J101" s="23"/>
      <c r="K101" s="23"/>
      <c r="L101" s="23"/>
      <c r="M101" s="23"/>
    </row>
    <row r="102" customFormat="false" ht="15" hidden="false" customHeight="false" outlineLevel="0" collapsed="false">
      <c r="A102" s="22"/>
      <c r="B102" s="23"/>
      <c r="C102" s="23"/>
      <c r="D102" s="23"/>
      <c r="E102" s="23"/>
      <c r="F102" s="23"/>
      <c r="G102" s="23"/>
      <c r="H102" s="23" t="str">
        <f aca="false">IF(COUNT(D102:G102)=0,"",COUNT(D102:G102))</f>
        <v/>
      </c>
      <c r="I102" s="23"/>
      <c r="J102" s="23"/>
      <c r="K102" s="23"/>
      <c r="L102" s="23"/>
      <c r="M102" s="23"/>
    </row>
    <row r="103" customFormat="false" ht="15" hidden="false" customHeight="false" outlineLevel="0" collapsed="false">
      <c r="A103" s="22"/>
      <c r="B103" s="23"/>
      <c r="C103" s="23"/>
      <c r="D103" s="23"/>
      <c r="E103" s="23"/>
      <c r="F103" s="23"/>
      <c r="G103" s="23"/>
      <c r="H103" s="23" t="str">
        <f aca="false">IF(COUNT(D103:G103)=0,"",COUNT(D103:G103))</f>
        <v/>
      </c>
      <c r="I103" s="23"/>
      <c r="J103" s="23"/>
      <c r="K103" s="23"/>
      <c r="L103" s="23"/>
      <c r="M103" s="23"/>
    </row>
    <row r="104" customFormat="false" ht="15" hidden="false" customHeight="false" outlineLevel="0" collapsed="false">
      <c r="A104" s="22"/>
      <c r="B104" s="23"/>
      <c r="C104" s="23"/>
      <c r="D104" s="23"/>
      <c r="E104" s="23"/>
      <c r="F104" s="23"/>
      <c r="G104" s="23"/>
      <c r="H104" s="23" t="str">
        <f aca="false">IF(COUNT(D104:G104)=0,"",COUNT(D104:G104))</f>
        <v/>
      </c>
      <c r="I104" s="23"/>
      <c r="J104" s="23"/>
      <c r="K104" s="23"/>
      <c r="L104" s="23"/>
      <c r="M104" s="23"/>
    </row>
    <row r="105" customFormat="false" ht="15" hidden="false" customHeight="false" outlineLevel="0" collapsed="false">
      <c r="A105" s="22"/>
      <c r="B105" s="23"/>
      <c r="C105" s="23"/>
      <c r="D105" s="23"/>
      <c r="E105" s="23"/>
      <c r="F105" s="23"/>
      <c r="G105" s="23"/>
      <c r="H105" s="23" t="str">
        <f aca="false">IF(COUNT(D105:G105)=0,"",COUNT(D105:G105))</f>
        <v/>
      </c>
      <c r="I105" s="23"/>
      <c r="J105" s="23"/>
      <c r="K105" s="23"/>
      <c r="L105" s="23"/>
      <c r="M105" s="23"/>
    </row>
    <row r="106" customFormat="false" ht="15" hidden="false" customHeight="false" outlineLevel="0" collapsed="false">
      <c r="A106" s="22"/>
      <c r="B106" s="23"/>
      <c r="C106" s="23"/>
      <c r="D106" s="23"/>
      <c r="E106" s="23"/>
      <c r="F106" s="23"/>
      <c r="G106" s="23"/>
      <c r="H106" s="23" t="str">
        <f aca="false">IF(COUNT(D106:G106)=0,"",COUNT(D106:G106))</f>
        <v/>
      </c>
      <c r="I106" s="23"/>
      <c r="J106" s="23"/>
      <c r="K106" s="23"/>
      <c r="L106" s="23"/>
      <c r="M106" s="23"/>
    </row>
    <row r="107" customFormat="false" ht="15" hidden="false" customHeight="false" outlineLevel="0" collapsed="false">
      <c r="A107" s="22"/>
      <c r="B107" s="23"/>
      <c r="C107" s="23"/>
      <c r="D107" s="23"/>
      <c r="E107" s="23"/>
      <c r="F107" s="23"/>
      <c r="G107" s="23"/>
      <c r="H107" s="23" t="str">
        <f aca="false">IF(COUNT(D107:G107)=0,"",COUNT(D107:G107))</f>
        <v/>
      </c>
      <c r="I107" s="23"/>
      <c r="J107" s="23"/>
      <c r="K107" s="23"/>
      <c r="L107" s="23"/>
      <c r="M107" s="23"/>
    </row>
    <row r="108" customFormat="false" ht="15" hidden="false" customHeight="false" outlineLevel="0" collapsed="false">
      <c r="A108" s="22"/>
      <c r="B108" s="23"/>
      <c r="C108" s="23"/>
      <c r="D108" s="23"/>
      <c r="E108" s="23"/>
      <c r="F108" s="23"/>
      <c r="G108" s="23"/>
      <c r="H108" s="23" t="str">
        <f aca="false">IF(COUNT(D108:G108)=0,"",COUNT(D108:G108))</f>
        <v/>
      </c>
      <c r="I108" s="23"/>
      <c r="J108" s="23"/>
      <c r="K108" s="23"/>
      <c r="L108" s="23"/>
      <c r="M108" s="23"/>
    </row>
    <row r="109" customFormat="false" ht="15" hidden="false" customHeight="false" outlineLevel="0" collapsed="false">
      <c r="A109" s="22"/>
      <c r="B109" s="23"/>
      <c r="C109" s="23"/>
      <c r="D109" s="23"/>
      <c r="E109" s="23"/>
      <c r="F109" s="23"/>
      <c r="G109" s="23"/>
      <c r="H109" s="23" t="str">
        <f aca="false">IF(COUNT(D109:G109)=0,"",COUNT(D109:G109))</f>
        <v/>
      </c>
      <c r="I109" s="23"/>
      <c r="J109" s="23"/>
      <c r="K109" s="23"/>
      <c r="L109" s="23"/>
      <c r="M109" s="23"/>
    </row>
    <row r="110" customFormat="false" ht="15" hidden="false" customHeight="false" outlineLevel="0" collapsed="false">
      <c r="A110" s="22"/>
      <c r="B110" s="23"/>
      <c r="C110" s="23"/>
      <c r="D110" s="23"/>
      <c r="E110" s="23"/>
      <c r="F110" s="23"/>
      <c r="G110" s="23"/>
      <c r="H110" s="23" t="str">
        <f aca="false">IF(COUNT(D110:G110)=0,"",COUNT(D110:G110))</f>
        <v/>
      </c>
      <c r="I110" s="23"/>
      <c r="J110" s="23"/>
      <c r="K110" s="23"/>
      <c r="L110" s="23"/>
      <c r="M110" s="23"/>
    </row>
    <row r="111" customFormat="false" ht="15" hidden="false" customHeight="false" outlineLevel="0" collapsed="false">
      <c r="A111" s="22"/>
      <c r="B111" s="23"/>
      <c r="C111" s="23"/>
      <c r="D111" s="23"/>
      <c r="E111" s="23"/>
      <c r="F111" s="23"/>
      <c r="G111" s="23"/>
      <c r="H111" s="23" t="str">
        <f aca="false">IF(COUNT(D111:G111)=0,"",COUNT(D111:G111))</f>
        <v/>
      </c>
      <c r="I111" s="23"/>
      <c r="J111" s="23"/>
      <c r="K111" s="23"/>
      <c r="L111" s="23"/>
      <c r="M111" s="23"/>
    </row>
    <row r="112" customFormat="false" ht="15" hidden="false" customHeight="false" outlineLevel="0" collapsed="false">
      <c r="A112" s="22"/>
      <c r="B112" s="23"/>
      <c r="C112" s="23"/>
      <c r="D112" s="23"/>
      <c r="E112" s="23"/>
      <c r="F112" s="23"/>
      <c r="G112" s="23"/>
      <c r="H112" s="23" t="str">
        <f aca="false">IF(COUNT(D112:G112)=0,"",COUNT(D112:G112))</f>
        <v/>
      </c>
      <c r="I112" s="23"/>
      <c r="J112" s="23"/>
      <c r="K112" s="23"/>
      <c r="L112" s="23"/>
      <c r="M112" s="23"/>
    </row>
    <row r="113" customFormat="false" ht="15" hidden="false" customHeight="false" outlineLevel="0" collapsed="false">
      <c r="A113" s="22"/>
      <c r="B113" s="23"/>
      <c r="C113" s="23"/>
      <c r="D113" s="23"/>
      <c r="E113" s="23"/>
      <c r="F113" s="23"/>
      <c r="G113" s="23"/>
      <c r="H113" s="23" t="str">
        <f aca="false">IF(COUNT(D113:G113)=0,"",COUNT(D113:G113))</f>
        <v/>
      </c>
      <c r="I113" s="23"/>
      <c r="J113" s="23"/>
      <c r="K113" s="23"/>
      <c r="L113" s="23"/>
      <c r="M113" s="23"/>
    </row>
    <row r="114" customFormat="false" ht="15" hidden="false" customHeight="false" outlineLevel="0" collapsed="false">
      <c r="A114" s="22"/>
      <c r="B114" s="23"/>
      <c r="C114" s="23"/>
      <c r="D114" s="23"/>
      <c r="E114" s="23"/>
      <c r="F114" s="23"/>
      <c r="G114" s="23"/>
      <c r="H114" s="23" t="str">
        <f aca="false">IF(COUNT(D114:G114)=0,"",COUNT(D114:G114))</f>
        <v/>
      </c>
      <c r="I114" s="23"/>
      <c r="J114" s="23"/>
      <c r="K114" s="23"/>
      <c r="L114" s="23"/>
      <c r="M114" s="23"/>
    </row>
    <row r="115" customFormat="false" ht="15" hidden="false" customHeight="false" outlineLevel="0" collapsed="false">
      <c r="A115" s="22"/>
      <c r="B115" s="23"/>
      <c r="C115" s="23"/>
      <c r="D115" s="23"/>
      <c r="E115" s="23"/>
      <c r="F115" s="23"/>
      <c r="G115" s="23"/>
      <c r="H115" s="23" t="str">
        <f aca="false">IF(COUNT(D115:G115)=0,"",COUNT(D115:G115))</f>
        <v/>
      </c>
      <c r="I115" s="23"/>
      <c r="J115" s="23"/>
      <c r="K115" s="23"/>
      <c r="L115" s="23"/>
      <c r="M115" s="23"/>
    </row>
    <row r="116" customFormat="false" ht="15" hidden="false" customHeight="false" outlineLevel="0" collapsed="false">
      <c r="A116" s="22"/>
      <c r="B116" s="23"/>
      <c r="C116" s="23"/>
      <c r="D116" s="23"/>
      <c r="E116" s="23"/>
      <c r="F116" s="23"/>
      <c r="G116" s="23"/>
      <c r="H116" s="23" t="str">
        <f aca="false">IF(COUNT(D116:G116)=0,"",COUNT(D116:G116))</f>
        <v/>
      </c>
      <c r="I116" s="23"/>
      <c r="J116" s="23"/>
      <c r="K116" s="23"/>
      <c r="L116" s="23"/>
      <c r="M116" s="23"/>
    </row>
    <row r="117" customFormat="false" ht="15" hidden="false" customHeight="false" outlineLevel="0" collapsed="false">
      <c r="A117" s="22"/>
      <c r="B117" s="23"/>
      <c r="C117" s="23"/>
      <c r="D117" s="23"/>
      <c r="E117" s="23"/>
      <c r="F117" s="23"/>
      <c r="G117" s="23"/>
      <c r="H117" s="23" t="str">
        <f aca="false">IF(COUNT(D117:G117)=0,"",COUNT(D117:G117))</f>
        <v/>
      </c>
      <c r="I117" s="23"/>
      <c r="J117" s="23"/>
      <c r="K117" s="23"/>
      <c r="L117" s="23"/>
      <c r="M117" s="23"/>
    </row>
    <row r="118" customFormat="false" ht="15" hidden="false" customHeight="false" outlineLevel="0" collapsed="false">
      <c r="A118" s="22"/>
      <c r="B118" s="23"/>
      <c r="C118" s="23"/>
      <c r="D118" s="23"/>
      <c r="E118" s="23"/>
      <c r="F118" s="23"/>
      <c r="G118" s="23"/>
      <c r="H118" s="23" t="str">
        <f aca="false">IF(COUNT(D118:G118)=0,"",COUNT(D118:G118))</f>
        <v/>
      </c>
      <c r="I118" s="23"/>
      <c r="J118" s="23"/>
      <c r="K118" s="23"/>
      <c r="L118" s="23"/>
      <c r="M118" s="23"/>
    </row>
    <row r="119" customFormat="false" ht="15" hidden="false" customHeight="false" outlineLevel="0" collapsed="false">
      <c r="A119" s="22"/>
      <c r="B119" s="23"/>
      <c r="C119" s="23"/>
      <c r="D119" s="23"/>
      <c r="E119" s="23"/>
      <c r="F119" s="23"/>
      <c r="G119" s="23"/>
      <c r="H119" s="23" t="str">
        <f aca="false">IF(COUNT(D119:G119)=0,"",COUNT(D119:G119))</f>
        <v/>
      </c>
      <c r="I119" s="23"/>
      <c r="J119" s="23"/>
      <c r="K119" s="23"/>
      <c r="L119" s="23"/>
      <c r="M119" s="23"/>
    </row>
    <row r="120" customFormat="false" ht="15" hidden="false" customHeight="false" outlineLevel="0" collapsed="false">
      <c r="A120" s="22"/>
      <c r="B120" s="23"/>
      <c r="C120" s="23"/>
      <c r="D120" s="23"/>
      <c r="E120" s="23"/>
      <c r="F120" s="23"/>
      <c r="G120" s="23"/>
      <c r="H120" s="23" t="str">
        <f aca="false">IF(COUNT(D120:G120)=0,"",COUNT(D120:G120))</f>
        <v/>
      </c>
      <c r="I120" s="23"/>
      <c r="J120" s="23"/>
      <c r="K120" s="23"/>
      <c r="L120" s="23"/>
      <c r="M120" s="23"/>
    </row>
    <row r="121" customFormat="false" ht="15" hidden="false" customHeight="false" outlineLevel="0" collapsed="false">
      <c r="A121" s="22"/>
      <c r="B121" s="23"/>
      <c r="C121" s="23"/>
      <c r="D121" s="23"/>
      <c r="E121" s="23"/>
      <c r="F121" s="23"/>
      <c r="G121" s="23"/>
      <c r="H121" s="23" t="str">
        <f aca="false">IF(COUNT(D121:G121)=0,"",COUNT(D121:G121))</f>
        <v/>
      </c>
      <c r="I121" s="23"/>
      <c r="J121" s="23"/>
      <c r="K121" s="23"/>
      <c r="L121" s="23"/>
      <c r="M121" s="23"/>
    </row>
    <row r="122" customFormat="false" ht="15" hidden="false" customHeight="false" outlineLevel="0" collapsed="false">
      <c r="A122" s="22"/>
      <c r="B122" s="23"/>
      <c r="C122" s="23"/>
      <c r="D122" s="23"/>
      <c r="E122" s="23"/>
      <c r="F122" s="23"/>
      <c r="G122" s="23"/>
      <c r="H122" s="23" t="str">
        <f aca="false">IF(COUNT(D122:G122)=0,"",COUNT(D122:G122))</f>
        <v/>
      </c>
      <c r="I122" s="23"/>
      <c r="J122" s="23"/>
      <c r="K122" s="23"/>
      <c r="L122" s="23"/>
      <c r="M122" s="23"/>
    </row>
    <row r="123" customFormat="false" ht="15" hidden="false" customHeight="false" outlineLevel="0" collapsed="false">
      <c r="A123" s="22"/>
      <c r="B123" s="23"/>
      <c r="C123" s="23"/>
      <c r="D123" s="23"/>
      <c r="E123" s="23"/>
      <c r="F123" s="23"/>
      <c r="G123" s="23"/>
      <c r="H123" s="23" t="str">
        <f aca="false">IF(COUNT(D123:G123)=0,"",COUNT(D123:G123))</f>
        <v/>
      </c>
      <c r="I123" s="23"/>
      <c r="J123" s="23"/>
      <c r="K123" s="23"/>
      <c r="L123" s="23"/>
      <c r="M123" s="23"/>
    </row>
    <row r="124" customFormat="false" ht="15" hidden="false" customHeight="false" outlineLevel="0" collapsed="false">
      <c r="A124" s="22"/>
      <c r="B124" s="23"/>
      <c r="C124" s="23"/>
      <c r="D124" s="23"/>
      <c r="E124" s="23"/>
      <c r="F124" s="23"/>
      <c r="G124" s="23"/>
      <c r="H124" s="23" t="str">
        <f aca="false">IF(COUNT(D124:G124)=0,"",COUNT(D124:G124))</f>
        <v/>
      </c>
      <c r="I124" s="23"/>
      <c r="J124" s="23"/>
      <c r="K124" s="23"/>
      <c r="L124" s="23"/>
      <c r="M124" s="23"/>
    </row>
    <row r="125" customFormat="false" ht="15" hidden="false" customHeight="false" outlineLevel="0" collapsed="false">
      <c r="A125" s="22"/>
      <c r="B125" s="23"/>
      <c r="C125" s="23"/>
      <c r="D125" s="23"/>
      <c r="E125" s="23"/>
      <c r="F125" s="23"/>
      <c r="G125" s="23"/>
      <c r="H125" s="23" t="str">
        <f aca="false">IF(COUNT(D125:G125)=0,"",COUNT(D125:G125))</f>
        <v/>
      </c>
      <c r="I125" s="23"/>
      <c r="J125" s="23"/>
      <c r="K125" s="23"/>
      <c r="L125" s="23"/>
      <c r="M125" s="23"/>
    </row>
    <row r="126" customFormat="false" ht="15" hidden="false" customHeight="false" outlineLevel="0" collapsed="false">
      <c r="A126" s="22"/>
      <c r="B126" s="23"/>
      <c r="C126" s="23"/>
      <c r="D126" s="23"/>
      <c r="E126" s="23"/>
      <c r="F126" s="23"/>
      <c r="G126" s="23"/>
      <c r="H126" s="23" t="str">
        <f aca="false">IF(COUNT(D126:G126)=0,"",COUNT(D126:G126))</f>
        <v/>
      </c>
      <c r="I126" s="23"/>
      <c r="J126" s="23"/>
      <c r="K126" s="23"/>
      <c r="L126" s="23"/>
      <c r="M126" s="23"/>
    </row>
    <row r="127" customFormat="false" ht="15" hidden="false" customHeight="false" outlineLevel="0" collapsed="false">
      <c r="A127" s="22"/>
      <c r="B127" s="23"/>
      <c r="C127" s="23"/>
      <c r="D127" s="23"/>
      <c r="E127" s="23"/>
      <c r="F127" s="23"/>
      <c r="G127" s="23"/>
      <c r="H127" s="23" t="str">
        <f aca="false">IF(COUNT(D127:G127)=0,"",COUNT(D127:G127))</f>
        <v/>
      </c>
      <c r="I127" s="23"/>
      <c r="J127" s="23"/>
      <c r="K127" s="23"/>
      <c r="L127" s="23"/>
      <c r="M127" s="23"/>
    </row>
    <row r="128" customFormat="false" ht="15" hidden="false" customHeight="false" outlineLevel="0" collapsed="false">
      <c r="A128" s="22"/>
      <c r="B128" s="23"/>
      <c r="C128" s="23"/>
      <c r="D128" s="23"/>
      <c r="E128" s="23"/>
      <c r="F128" s="23"/>
      <c r="G128" s="23"/>
      <c r="H128" s="23" t="str">
        <f aca="false">IF(COUNT(D128:G128)=0,"",COUNT(D128:G128))</f>
        <v/>
      </c>
      <c r="I128" s="23"/>
      <c r="J128" s="23"/>
      <c r="K128" s="23"/>
      <c r="L128" s="23"/>
      <c r="M128" s="23"/>
    </row>
    <row r="129" customFormat="false" ht="15" hidden="false" customHeight="false" outlineLevel="0" collapsed="false">
      <c r="A129" s="22"/>
      <c r="B129" s="23"/>
      <c r="C129" s="23"/>
      <c r="D129" s="23"/>
      <c r="E129" s="23"/>
      <c r="F129" s="23"/>
      <c r="G129" s="23"/>
      <c r="H129" s="23" t="str">
        <f aca="false">IF(COUNT(D129:G129)=0,"",COUNT(D129:G129))</f>
        <v/>
      </c>
      <c r="I129" s="23"/>
      <c r="J129" s="23"/>
      <c r="K129" s="23"/>
      <c r="L129" s="23"/>
      <c r="M129" s="23"/>
    </row>
    <row r="130" customFormat="false" ht="15" hidden="false" customHeight="false" outlineLevel="0" collapsed="false">
      <c r="A130" s="22"/>
      <c r="B130" s="23"/>
      <c r="C130" s="23"/>
      <c r="D130" s="23"/>
      <c r="E130" s="23"/>
      <c r="F130" s="23"/>
      <c r="G130" s="23"/>
      <c r="H130" s="23" t="str">
        <f aca="false">IF(COUNT(D130:G130)=0,"",COUNT(D130:G130))</f>
        <v/>
      </c>
      <c r="I130" s="23"/>
      <c r="J130" s="23"/>
      <c r="K130" s="23"/>
      <c r="L130" s="23"/>
      <c r="M130" s="23"/>
    </row>
    <row r="131" customFormat="false" ht="15" hidden="false" customHeight="false" outlineLevel="0" collapsed="false">
      <c r="A131" s="22"/>
      <c r="B131" s="23"/>
      <c r="C131" s="23"/>
      <c r="D131" s="23"/>
      <c r="E131" s="23"/>
      <c r="F131" s="23"/>
      <c r="G131" s="23"/>
      <c r="H131" s="23" t="str">
        <f aca="false">IF(COUNT(D131:G131)=0,"",COUNT(D131:G131))</f>
        <v/>
      </c>
      <c r="I131" s="23"/>
      <c r="J131" s="23"/>
      <c r="K131" s="23"/>
      <c r="L131" s="23"/>
      <c r="M131" s="23"/>
    </row>
    <row r="132" customFormat="false" ht="15" hidden="false" customHeight="false" outlineLevel="0" collapsed="false">
      <c r="A132" s="22"/>
      <c r="B132" s="23"/>
      <c r="C132" s="23"/>
      <c r="D132" s="23"/>
      <c r="E132" s="23"/>
      <c r="F132" s="23"/>
      <c r="G132" s="23"/>
      <c r="H132" s="23" t="str">
        <f aca="false">IF(COUNT(D132:G132)=0,"",COUNT(D132:G132))</f>
        <v/>
      </c>
      <c r="I132" s="23"/>
      <c r="J132" s="23"/>
      <c r="K132" s="23"/>
      <c r="L132" s="23"/>
      <c r="M132" s="23"/>
    </row>
    <row r="133" customFormat="false" ht="15" hidden="false" customHeight="false" outlineLevel="0" collapsed="false">
      <c r="A133" s="22"/>
      <c r="B133" s="23"/>
      <c r="C133" s="23"/>
      <c r="D133" s="23"/>
      <c r="E133" s="23"/>
      <c r="F133" s="23"/>
      <c r="G133" s="23"/>
      <c r="H133" s="23" t="str">
        <f aca="false">IF(COUNT(D133:G133)=0,"",COUNT(D133:G133))</f>
        <v/>
      </c>
      <c r="I133" s="23"/>
      <c r="J133" s="23"/>
      <c r="K133" s="23"/>
      <c r="L133" s="23"/>
      <c r="M133" s="23"/>
    </row>
    <row r="134" customFormat="false" ht="15" hidden="false" customHeight="false" outlineLevel="0" collapsed="false">
      <c r="A134" s="22"/>
      <c r="B134" s="23"/>
      <c r="C134" s="23"/>
      <c r="D134" s="23"/>
      <c r="E134" s="23"/>
      <c r="F134" s="23"/>
      <c r="G134" s="23"/>
      <c r="H134" s="23" t="str">
        <f aca="false">IF(COUNT(D134:G134)=0,"",COUNT(D134:G134))</f>
        <v/>
      </c>
      <c r="I134" s="23"/>
      <c r="J134" s="23"/>
      <c r="K134" s="23"/>
      <c r="L134" s="23"/>
      <c r="M134" s="23"/>
    </row>
    <row r="135" customFormat="false" ht="15" hidden="false" customHeight="false" outlineLevel="0" collapsed="false">
      <c r="A135" s="22"/>
      <c r="B135" s="23"/>
      <c r="C135" s="23"/>
      <c r="D135" s="23"/>
      <c r="E135" s="23"/>
      <c r="F135" s="23"/>
      <c r="G135" s="23"/>
      <c r="H135" s="23" t="str">
        <f aca="false">IF(COUNT(D135:G135)=0,"",COUNT(D135:G135))</f>
        <v/>
      </c>
      <c r="I135" s="23"/>
      <c r="J135" s="23"/>
      <c r="K135" s="23"/>
      <c r="L135" s="23"/>
      <c r="M135" s="23"/>
    </row>
    <row r="136" customFormat="false" ht="15" hidden="false" customHeight="false" outlineLevel="0" collapsed="false">
      <c r="A136" s="22"/>
      <c r="B136" s="23"/>
      <c r="C136" s="23"/>
      <c r="D136" s="23"/>
      <c r="E136" s="23"/>
      <c r="F136" s="23"/>
      <c r="G136" s="23"/>
      <c r="H136" s="23" t="str">
        <f aca="false">IF(COUNT(D136:G136)=0,"",COUNT(D136:G136))</f>
        <v/>
      </c>
      <c r="I136" s="23"/>
      <c r="J136" s="23"/>
      <c r="K136" s="23"/>
      <c r="L136" s="23"/>
      <c r="M136" s="23"/>
    </row>
    <row r="137" customFormat="false" ht="15" hidden="false" customHeight="false" outlineLevel="0" collapsed="false">
      <c r="A137" s="22"/>
      <c r="B137" s="23"/>
      <c r="C137" s="23"/>
      <c r="D137" s="23"/>
      <c r="E137" s="23"/>
      <c r="F137" s="23"/>
      <c r="G137" s="23"/>
      <c r="H137" s="23" t="str">
        <f aca="false">IF(COUNT(D137:G137)=0,"",COUNT(D137:G137))</f>
        <v/>
      </c>
      <c r="I137" s="23"/>
      <c r="J137" s="23"/>
      <c r="K137" s="23"/>
      <c r="L137" s="23"/>
      <c r="M137" s="23"/>
    </row>
    <row r="138" customFormat="false" ht="15" hidden="false" customHeight="false" outlineLevel="0" collapsed="false">
      <c r="A138" s="22"/>
      <c r="B138" s="23"/>
      <c r="C138" s="23"/>
      <c r="D138" s="23"/>
      <c r="E138" s="23"/>
      <c r="F138" s="23"/>
      <c r="G138" s="23"/>
      <c r="H138" s="23" t="str">
        <f aca="false">IF(COUNT(D138:G138)=0,"",COUNT(D138:G138))</f>
        <v/>
      </c>
      <c r="I138" s="23"/>
      <c r="J138" s="23"/>
      <c r="K138" s="23"/>
      <c r="L138" s="23"/>
      <c r="M138" s="23"/>
    </row>
    <row r="139" customFormat="false" ht="15" hidden="false" customHeight="false" outlineLevel="0" collapsed="false">
      <c r="A139" s="22"/>
      <c r="B139" s="23"/>
      <c r="C139" s="23"/>
      <c r="D139" s="23"/>
      <c r="E139" s="23"/>
      <c r="F139" s="23"/>
      <c r="G139" s="23"/>
      <c r="H139" s="23" t="str">
        <f aca="false">IF(COUNT(D139:G139)=0,"",COUNT(D139:G139))</f>
        <v/>
      </c>
      <c r="I139" s="23"/>
      <c r="J139" s="23"/>
      <c r="K139" s="23"/>
      <c r="L139" s="23"/>
      <c r="M139" s="23"/>
    </row>
    <row r="140" customFormat="false" ht="15" hidden="false" customHeight="false" outlineLevel="0" collapsed="false">
      <c r="A140" s="22"/>
      <c r="B140" s="23"/>
      <c r="C140" s="23"/>
      <c r="D140" s="23"/>
      <c r="E140" s="23"/>
      <c r="F140" s="23"/>
      <c r="G140" s="23"/>
      <c r="H140" s="23" t="str">
        <f aca="false">IF(COUNT(D140:G140)=0,"",COUNT(D140:G140))</f>
        <v/>
      </c>
      <c r="I140" s="23"/>
      <c r="J140" s="23"/>
      <c r="K140" s="23"/>
      <c r="L140" s="23"/>
      <c r="M140" s="23"/>
    </row>
    <row r="141" customFormat="false" ht="15" hidden="false" customHeight="false" outlineLevel="0" collapsed="false">
      <c r="A141" s="22"/>
      <c r="B141" s="23"/>
      <c r="C141" s="23"/>
      <c r="D141" s="23"/>
      <c r="E141" s="23"/>
      <c r="F141" s="23"/>
      <c r="G141" s="23"/>
      <c r="H141" s="23" t="str">
        <f aca="false">IF(COUNT(D141:G141)=0,"",COUNT(D141:G141))</f>
        <v/>
      </c>
      <c r="I141" s="23"/>
      <c r="J141" s="23"/>
      <c r="K141" s="23"/>
      <c r="L141" s="23"/>
      <c r="M141" s="23"/>
    </row>
    <row r="142" customFormat="false" ht="15" hidden="false" customHeight="false" outlineLevel="0" collapsed="false">
      <c r="A142" s="22"/>
      <c r="B142" s="23"/>
      <c r="C142" s="23"/>
      <c r="D142" s="23"/>
      <c r="E142" s="23"/>
      <c r="F142" s="23"/>
      <c r="G142" s="23"/>
      <c r="H142" s="23" t="str">
        <f aca="false">IF(COUNT(D142:G142)=0,"",COUNT(D142:G142))</f>
        <v/>
      </c>
      <c r="I142" s="23"/>
      <c r="J142" s="23"/>
      <c r="K142" s="23"/>
      <c r="L142" s="23"/>
      <c r="M142" s="23"/>
    </row>
    <row r="143" customFormat="false" ht="15" hidden="false" customHeight="false" outlineLevel="0" collapsed="false">
      <c r="A143" s="22"/>
      <c r="B143" s="23"/>
      <c r="C143" s="23"/>
      <c r="D143" s="23"/>
      <c r="E143" s="23"/>
      <c r="F143" s="23"/>
      <c r="G143" s="23"/>
      <c r="H143" s="23" t="str">
        <f aca="false">IF(COUNT(D143:G143)=0,"",COUNT(D143:G143))</f>
        <v/>
      </c>
      <c r="I143" s="23"/>
      <c r="J143" s="23"/>
      <c r="K143" s="23"/>
      <c r="L143" s="23"/>
      <c r="M143" s="23"/>
    </row>
    <row r="144" customFormat="false" ht="15" hidden="false" customHeight="false" outlineLevel="0" collapsed="false">
      <c r="A144" s="22"/>
      <c r="B144" s="23"/>
      <c r="C144" s="23"/>
      <c r="D144" s="23"/>
      <c r="E144" s="23"/>
      <c r="F144" s="23"/>
      <c r="G144" s="23"/>
      <c r="H144" s="23" t="str">
        <f aca="false">IF(COUNT(D144:G144)=0,"",COUNT(D144:G144))</f>
        <v/>
      </c>
      <c r="I144" s="23"/>
      <c r="J144" s="23"/>
      <c r="K144" s="23"/>
      <c r="L144" s="23"/>
      <c r="M144" s="23"/>
    </row>
    <row r="145" customFormat="false" ht="15" hidden="false" customHeight="false" outlineLevel="0" collapsed="false">
      <c r="A145" s="22"/>
      <c r="B145" s="23"/>
      <c r="C145" s="23"/>
      <c r="D145" s="23"/>
      <c r="E145" s="23"/>
      <c r="F145" s="23"/>
      <c r="G145" s="23"/>
      <c r="H145" s="23" t="str">
        <f aca="false">IF(COUNT(D145:G145)=0,"",COUNT(D145:G145))</f>
        <v/>
      </c>
      <c r="I145" s="23"/>
      <c r="J145" s="23"/>
      <c r="K145" s="23"/>
      <c r="L145" s="23"/>
      <c r="M145" s="23"/>
    </row>
    <row r="146" customFormat="false" ht="15" hidden="false" customHeight="false" outlineLevel="0" collapsed="false">
      <c r="A146" s="22"/>
      <c r="B146" s="23"/>
      <c r="C146" s="23"/>
      <c r="D146" s="23"/>
      <c r="E146" s="23"/>
      <c r="F146" s="23"/>
      <c r="G146" s="23"/>
      <c r="H146" s="23" t="str">
        <f aca="false">IF(COUNT(D146:G146)=0,"",COUNT(D146:G146))</f>
        <v/>
      </c>
      <c r="I146" s="23"/>
      <c r="J146" s="23"/>
      <c r="K146" s="23"/>
      <c r="L146" s="23"/>
      <c r="M146" s="23"/>
    </row>
    <row r="147" customFormat="false" ht="15" hidden="false" customHeight="false" outlineLevel="0" collapsed="false">
      <c r="A147" s="22"/>
      <c r="B147" s="23"/>
      <c r="C147" s="23"/>
      <c r="D147" s="23"/>
      <c r="E147" s="23"/>
      <c r="F147" s="23"/>
      <c r="G147" s="23"/>
      <c r="H147" s="23" t="str">
        <f aca="false">IF(COUNT(D147:G147)=0,"",COUNT(D147:G147))</f>
        <v/>
      </c>
      <c r="I147" s="23"/>
      <c r="J147" s="23"/>
      <c r="K147" s="23"/>
      <c r="L147" s="23"/>
      <c r="M147" s="23"/>
    </row>
    <row r="148" customFormat="false" ht="15" hidden="false" customHeight="false" outlineLevel="0" collapsed="false">
      <c r="A148" s="22"/>
      <c r="B148" s="23"/>
      <c r="C148" s="23"/>
      <c r="D148" s="23"/>
      <c r="E148" s="23"/>
      <c r="F148" s="23"/>
      <c r="G148" s="23"/>
      <c r="H148" s="23" t="str">
        <f aca="false">IF(COUNT(D148:G148)=0,"",COUNT(D148:G148))</f>
        <v/>
      </c>
      <c r="I148" s="23"/>
      <c r="J148" s="23"/>
      <c r="K148" s="23"/>
      <c r="L148" s="23"/>
      <c r="M148" s="23"/>
    </row>
    <row r="149" customFormat="false" ht="15" hidden="false" customHeight="false" outlineLevel="0" collapsed="false">
      <c r="A149" s="22"/>
      <c r="B149" s="23"/>
      <c r="C149" s="23"/>
      <c r="D149" s="23"/>
      <c r="E149" s="23"/>
      <c r="F149" s="23"/>
      <c r="G149" s="23"/>
      <c r="H149" s="23" t="str">
        <f aca="false">IF(COUNT(D149:G149)=0,"",COUNT(D149:G149))</f>
        <v/>
      </c>
      <c r="I149" s="23"/>
      <c r="J149" s="23"/>
      <c r="K149" s="23"/>
      <c r="L149" s="23"/>
      <c r="M149" s="23"/>
    </row>
    <row r="150" customFormat="false" ht="15" hidden="false" customHeight="false" outlineLevel="0" collapsed="false">
      <c r="A150" s="22"/>
      <c r="B150" s="23"/>
      <c r="C150" s="23"/>
      <c r="D150" s="23"/>
      <c r="E150" s="23"/>
      <c r="F150" s="23"/>
      <c r="G150" s="23"/>
      <c r="H150" s="23" t="str">
        <f aca="false">IF(COUNT(D150:G150)=0,"",COUNT(D150:G150))</f>
        <v/>
      </c>
      <c r="I150" s="23"/>
      <c r="J150" s="23"/>
      <c r="K150" s="23"/>
      <c r="L150" s="23"/>
      <c r="M150" s="23"/>
    </row>
    <row r="151" customFormat="false" ht="15" hidden="false" customHeight="false" outlineLevel="0" collapsed="false">
      <c r="A151" s="22"/>
      <c r="B151" s="23"/>
      <c r="C151" s="23"/>
      <c r="D151" s="23"/>
      <c r="E151" s="23"/>
      <c r="F151" s="23"/>
      <c r="G151" s="23"/>
      <c r="H151" s="23" t="str">
        <f aca="false">IF(COUNT(D151:G151)=0,"",COUNT(D151:G151))</f>
        <v/>
      </c>
      <c r="I151" s="23"/>
      <c r="J151" s="23"/>
      <c r="K151" s="23"/>
      <c r="L151" s="23"/>
      <c r="M151" s="23"/>
    </row>
    <row r="152" customFormat="false" ht="15" hidden="false" customHeight="false" outlineLevel="0" collapsed="false">
      <c r="A152" s="22"/>
      <c r="B152" s="23"/>
      <c r="C152" s="23"/>
      <c r="D152" s="23"/>
      <c r="E152" s="23"/>
      <c r="F152" s="23"/>
      <c r="G152" s="23"/>
      <c r="H152" s="23" t="str">
        <f aca="false">IF(COUNT(D152:G152)=0,"",COUNT(D152:G152))</f>
        <v/>
      </c>
      <c r="I152" s="23"/>
      <c r="J152" s="23"/>
      <c r="K152" s="23"/>
      <c r="L152" s="23"/>
      <c r="M152" s="23"/>
    </row>
    <row r="153" customFormat="false" ht="15" hidden="false" customHeight="false" outlineLevel="0" collapsed="false">
      <c r="A153" s="22"/>
      <c r="B153" s="23"/>
      <c r="C153" s="23"/>
      <c r="D153" s="23"/>
      <c r="E153" s="23"/>
      <c r="F153" s="23"/>
      <c r="G153" s="23"/>
      <c r="H153" s="23" t="str">
        <f aca="false">IF(COUNT(D153:G153)=0,"",COUNT(D153:G153))</f>
        <v/>
      </c>
      <c r="I153" s="23"/>
      <c r="J153" s="23"/>
      <c r="K153" s="23"/>
      <c r="L153" s="23"/>
      <c r="M153" s="23"/>
    </row>
    <row r="154" customFormat="false" ht="15" hidden="false" customHeight="false" outlineLevel="0" collapsed="false">
      <c r="A154" s="22"/>
      <c r="B154" s="23"/>
      <c r="C154" s="23"/>
      <c r="D154" s="23"/>
      <c r="E154" s="23"/>
      <c r="F154" s="23"/>
      <c r="G154" s="23"/>
      <c r="H154" s="23" t="str">
        <f aca="false">IF(COUNT(D154:G154)=0,"",COUNT(D154:G154))</f>
        <v/>
      </c>
      <c r="I154" s="23"/>
      <c r="J154" s="23"/>
      <c r="K154" s="23"/>
      <c r="L154" s="23"/>
      <c r="M154" s="23"/>
    </row>
    <row r="155" customFormat="false" ht="15" hidden="false" customHeight="false" outlineLevel="0" collapsed="false">
      <c r="A155" s="22"/>
      <c r="B155" s="23"/>
      <c r="C155" s="23"/>
      <c r="D155" s="23"/>
      <c r="E155" s="23"/>
      <c r="F155" s="23"/>
      <c r="G155" s="23"/>
      <c r="H155" s="23" t="str">
        <f aca="false">IF(COUNT(D155:G155)=0,"",COUNT(D155:G155))</f>
        <v/>
      </c>
      <c r="I155" s="23"/>
      <c r="J155" s="23"/>
      <c r="K155" s="23"/>
      <c r="L155" s="23"/>
      <c r="M155" s="23"/>
    </row>
    <row r="156" customFormat="false" ht="15" hidden="false" customHeight="false" outlineLevel="0" collapsed="false">
      <c r="A156" s="22"/>
      <c r="B156" s="23"/>
      <c r="C156" s="23"/>
      <c r="D156" s="23"/>
      <c r="E156" s="23"/>
      <c r="F156" s="23"/>
      <c r="G156" s="23"/>
      <c r="H156" s="23" t="str">
        <f aca="false">IF(COUNT(D156:G156)=0,"",COUNT(D156:G156))</f>
        <v/>
      </c>
      <c r="I156" s="23"/>
      <c r="J156" s="23"/>
      <c r="K156" s="23"/>
      <c r="L156" s="23"/>
      <c r="M156" s="23"/>
    </row>
    <row r="157" customFormat="false" ht="15" hidden="false" customHeight="false" outlineLevel="0" collapsed="false">
      <c r="A157" s="22"/>
      <c r="B157" s="23"/>
      <c r="C157" s="23"/>
      <c r="D157" s="23"/>
      <c r="E157" s="23"/>
      <c r="F157" s="23"/>
      <c r="G157" s="23"/>
      <c r="H157" s="23" t="str">
        <f aca="false">IF(COUNT(D157:G157)=0,"",COUNT(D157:G157))</f>
        <v/>
      </c>
      <c r="I157" s="23"/>
      <c r="J157" s="23"/>
      <c r="K157" s="23"/>
      <c r="L157" s="23"/>
      <c r="M157" s="23"/>
    </row>
    <row r="158" customFormat="false" ht="15" hidden="false" customHeight="false" outlineLevel="0" collapsed="false">
      <c r="A158" s="22"/>
      <c r="B158" s="23"/>
      <c r="C158" s="23"/>
      <c r="D158" s="23"/>
      <c r="E158" s="23"/>
      <c r="F158" s="23"/>
      <c r="G158" s="23"/>
      <c r="H158" s="23" t="str">
        <f aca="false">IF(COUNT(D158:G158)=0,"",COUNT(D158:G158))</f>
        <v/>
      </c>
      <c r="I158" s="23"/>
      <c r="J158" s="23"/>
      <c r="K158" s="23"/>
      <c r="L158" s="23"/>
      <c r="M158" s="23"/>
    </row>
    <row r="159" customFormat="false" ht="15" hidden="false" customHeight="false" outlineLevel="0" collapsed="false">
      <c r="A159" s="22"/>
      <c r="B159" s="23"/>
      <c r="C159" s="23"/>
      <c r="D159" s="23"/>
      <c r="E159" s="23"/>
      <c r="F159" s="23"/>
      <c r="G159" s="23"/>
      <c r="H159" s="23" t="str">
        <f aca="false">IF(COUNT(D159:G159)=0,"",COUNT(D159:G159))</f>
        <v/>
      </c>
      <c r="I159" s="23"/>
      <c r="J159" s="23"/>
      <c r="K159" s="23"/>
      <c r="L159" s="23"/>
      <c r="M159" s="23"/>
    </row>
    <row r="160" customFormat="false" ht="15" hidden="false" customHeight="false" outlineLevel="0" collapsed="false">
      <c r="A160" s="22"/>
      <c r="B160" s="23"/>
      <c r="C160" s="23"/>
      <c r="D160" s="23"/>
      <c r="E160" s="23"/>
      <c r="F160" s="23"/>
      <c r="G160" s="23"/>
      <c r="H160" s="23" t="str">
        <f aca="false">IF(COUNT(D160:G160)=0,"",COUNT(D160:G160))</f>
        <v/>
      </c>
      <c r="I160" s="23"/>
      <c r="J160" s="23"/>
      <c r="K160" s="23"/>
      <c r="L160" s="23"/>
      <c r="M160" s="23"/>
    </row>
    <row r="161" customFormat="false" ht="15" hidden="false" customHeight="false" outlineLevel="0" collapsed="false">
      <c r="A161" s="22"/>
      <c r="B161" s="23"/>
      <c r="C161" s="23"/>
      <c r="D161" s="23"/>
      <c r="E161" s="23"/>
      <c r="F161" s="23"/>
      <c r="G161" s="23"/>
      <c r="H161" s="23" t="str">
        <f aca="false">IF(COUNT(D161:G161)=0,"",COUNT(D161:G161))</f>
        <v/>
      </c>
      <c r="I161" s="23"/>
      <c r="J161" s="23"/>
      <c r="K161" s="23"/>
      <c r="L161" s="23"/>
      <c r="M161" s="23"/>
    </row>
    <row r="162" customFormat="false" ht="15" hidden="false" customHeight="false" outlineLevel="0" collapsed="false">
      <c r="A162" s="22"/>
      <c r="B162" s="23"/>
      <c r="C162" s="23"/>
      <c r="D162" s="23"/>
      <c r="E162" s="23"/>
      <c r="F162" s="23"/>
      <c r="G162" s="23"/>
      <c r="H162" s="23" t="str">
        <f aca="false">IF(COUNT(D162:G162)=0,"",COUNT(D162:G162))</f>
        <v/>
      </c>
      <c r="I162" s="23"/>
      <c r="J162" s="23"/>
      <c r="K162" s="23"/>
      <c r="L162" s="23"/>
      <c r="M162" s="23"/>
    </row>
    <row r="163" customFormat="false" ht="15" hidden="false" customHeight="false" outlineLevel="0" collapsed="false">
      <c r="A163" s="22"/>
      <c r="B163" s="23"/>
      <c r="C163" s="23"/>
      <c r="D163" s="23"/>
      <c r="E163" s="23"/>
      <c r="F163" s="23"/>
      <c r="G163" s="23"/>
      <c r="H163" s="23" t="str">
        <f aca="false">IF(COUNT(D163:G163)=0,"",COUNT(D163:G163))</f>
        <v/>
      </c>
      <c r="I163" s="23"/>
      <c r="J163" s="23"/>
      <c r="K163" s="23"/>
      <c r="L163" s="23"/>
      <c r="M163" s="23"/>
    </row>
    <row r="164" customFormat="false" ht="15" hidden="false" customHeight="false" outlineLevel="0" collapsed="false">
      <c r="A164" s="22"/>
      <c r="B164" s="23"/>
      <c r="C164" s="23"/>
      <c r="D164" s="23"/>
      <c r="E164" s="23"/>
      <c r="F164" s="23"/>
      <c r="G164" s="23"/>
      <c r="H164" s="23" t="str">
        <f aca="false">IF(COUNT(D164:G164)=0,"",COUNT(D164:G164))</f>
        <v/>
      </c>
      <c r="I164" s="23"/>
      <c r="J164" s="23"/>
      <c r="K164" s="23"/>
      <c r="L164" s="23"/>
      <c r="M164" s="23"/>
    </row>
    <row r="165" customFormat="false" ht="15" hidden="false" customHeight="false" outlineLevel="0" collapsed="false">
      <c r="A165" s="22"/>
      <c r="B165" s="23"/>
      <c r="C165" s="23"/>
      <c r="D165" s="23"/>
      <c r="E165" s="23"/>
      <c r="F165" s="23"/>
      <c r="G165" s="23"/>
      <c r="H165" s="23" t="str">
        <f aca="false">IF(COUNT(D165:G165)=0,"",COUNT(D165:G165))</f>
        <v/>
      </c>
      <c r="I165" s="23"/>
      <c r="J165" s="23"/>
      <c r="K165" s="23"/>
      <c r="L165" s="23"/>
      <c r="M165" s="23"/>
    </row>
    <row r="166" customFormat="false" ht="15" hidden="false" customHeight="false" outlineLevel="0" collapsed="false">
      <c r="A166" s="22"/>
      <c r="B166" s="23"/>
      <c r="C166" s="23"/>
      <c r="D166" s="23"/>
      <c r="E166" s="23"/>
      <c r="F166" s="23"/>
      <c r="G166" s="23"/>
      <c r="H166" s="23" t="str">
        <f aca="false">IF(COUNT(D166:G166)=0,"",COUNT(D166:G166))</f>
        <v/>
      </c>
      <c r="I166" s="23"/>
      <c r="J166" s="23"/>
      <c r="K166" s="23"/>
      <c r="L166" s="23"/>
      <c r="M166" s="23"/>
    </row>
    <row r="167" customFormat="false" ht="15" hidden="false" customHeight="false" outlineLevel="0" collapsed="false">
      <c r="A167" s="22"/>
      <c r="B167" s="23"/>
      <c r="C167" s="23"/>
      <c r="D167" s="23"/>
      <c r="E167" s="23"/>
      <c r="F167" s="23"/>
      <c r="G167" s="23"/>
      <c r="H167" s="23" t="str">
        <f aca="false">IF(COUNT(D167:G167)=0,"",COUNT(D167:G167))</f>
        <v/>
      </c>
      <c r="I167" s="23"/>
      <c r="J167" s="23"/>
      <c r="K167" s="23"/>
      <c r="L167" s="23"/>
      <c r="M167" s="23"/>
    </row>
    <row r="168" customFormat="false" ht="15" hidden="false" customHeight="false" outlineLevel="0" collapsed="false">
      <c r="A168" s="22"/>
      <c r="B168" s="23"/>
      <c r="C168" s="23"/>
      <c r="D168" s="23"/>
      <c r="E168" s="23"/>
      <c r="F168" s="23"/>
      <c r="G168" s="23"/>
      <c r="H168" s="23" t="str">
        <f aca="false">IF(COUNT(D168:G168)=0,"",COUNT(D168:G168))</f>
        <v/>
      </c>
      <c r="I168" s="23"/>
      <c r="J168" s="23"/>
      <c r="K168" s="23"/>
      <c r="L168" s="23"/>
      <c r="M168" s="23"/>
    </row>
    <row r="169" customFormat="false" ht="15" hidden="false" customHeight="false" outlineLevel="0" collapsed="false">
      <c r="A169" s="22"/>
      <c r="B169" s="23"/>
      <c r="C169" s="23"/>
      <c r="D169" s="23"/>
      <c r="E169" s="23"/>
      <c r="F169" s="23"/>
      <c r="G169" s="23"/>
      <c r="H169" s="23" t="str">
        <f aca="false">IF(COUNT(D169:G169)=0,"",COUNT(D169:G169))</f>
        <v/>
      </c>
      <c r="I169" s="23"/>
      <c r="J169" s="23"/>
      <c r="K169" s="23"/>
      <c r="L169" s="23"/>
      <c r="M169" s="23"/>
    </row>
    <row r="170" customFormat="false" ht="15" hidden="false" customHeight="false" outlineLevel="0" collapsed="false">
      <c r="A170" s="22"/>
      <c r="B170" s="23"/>
      <c r="C170" s="23"/>
      <c r="D170" s="23"/>
      <c r="E170" s="23"/>
      <c r="F170" s="23"/>
      <c r="G170" s="23"/>
      <c r="H170" s="23" t="str">
        <f aca="false">IF(COUNT(D170:G170)=0,"",COUNT(D170:G170))</f>
        <v/>
      </c>
      <c r="I170" s="23"/>
      <c r="J170" s="23"/>
      <c r="K170" s="23"/>
      <c r="L170" s="23"/>
      <c r="M170" s="23"/>
    </row>
    <row r="171" customFormat="false" ht="15" hidden="false" customHeight="false" outlineLevel="0" collapsed="false">
      <c r="A171" s="22"/>
      <c r="B171" s="23"/>
      <c r="C171" s="23"/>
      <c r="D171" s="23"/>
      <c r="E171" s="23"/>
      <c r="F171" s="23"/>
      <c r="G171" s="23"/>
      <c r="H171" s="23" t="str">
        <f aca="false">IF(COUNT(D171:G171)=0,"",COUNT(D171:G171))</f>
        <v/>
      </c>
      <c r="I171" s="23"/>
      <c r="J171" s="23"/>
      <c r="K171" s="23"/>
      <c r="L171" s="23"/>
      <c r="M171" s="23"/>
    </row>
    <row r="172" customFormat="false" ht="15" hidden="false" customHeight="false" outlineLevel="0" collapsed="false">
      <c r="A172" s="22"/>
      <c r="B172" s="23"/>
      <c r="C172" s="23"/>
      <c r="D172" s="23"/>
      <c r="E172" s="23"/>
      <c r="F172" s="23"/>
      <c r="G172" s="23"/>
      <c r="H172" s="23" t="str">
        <f aca="false">IF(COUNT(D172:G172)=0,"",COUNT(D172:G172))</f>
        <v/>
      </c>
      <c r="I172" s="23"/>
      <c r="J172" s="23"/>
      <c r="K172" s="23"/>
      <c r="L172" s="23"/>
      <c r="M172" s="23"/>
    </row>
    <row r="173" customFormat="false" ht="15" hidden="false" customHeight="false" outlineLevel="0" collapsed="false">
      <c r="A173" s="22"/>
      <c r="B173" s="23"/>
      <c r="C173" s="23"/>
      <c r="D173" s="23"/>
      <c r="E173" s="23"/>
      <c r="F173" s="23"/>
      <c r="G173" s="23"/>
      <c r="H173" s="23" t="str">
        <f aca="false">IF(COUNT(D173:G173)=0,"",COUNT(D173:G173))</f>
        <v/>
      </c>
      <c r="I173" s="23"/>
      <c r="J173" s="23"/>
      <c r="K173" s="23"/>
      <c r="L173" s="23"/>
      <c r="M173" s="23"/>
    </row>
    <row r="174" customFormat="false" ht="15" hidden="false" customHeight="false" outlineLevel="0" collapsed="false">
      <c r="A174" s="22"/>
      <c r="B174" s="23"/>
      <c r="C174" s="23"/>
      <c r="D174" s="23"/>
      <c r="E174" s="23"/>
      <c r="F174" s="23"/>
      <c r="G174" s="23"/>
      <c r="H174" s="23" t="str">
        <f aca="false">IF(COUNT(D174:G174)=0,"",COUNT(D174:G174))</f>
        <v/>
      </c>
      <c r="I174" s="23"/>
      <c r="J174" s="23"/>
      <c r="K174" s="23"/>
      <c r="L174" s="23"/>
      <c r="M174" s="23"/>
    </row>
    <row r="175" customFormat="false" ht="15" hidden="false" customHeight="false" outlineLevel="0" collapsed="false">
      <c r="A175" s="22"/>
      <c r="B175" s="23"/>
      <c r="C175" s="23"/>
      <c r="D175" s="23"/>
      <c r="E175" s="23"/>
      <c r="F175" s="23"/>
      <c r="G175" s="23"/>
      <c r="H175" s="23" t="str">
        <f aca="false">IF(COUNT(D175:G175)=0,"",COUNT(D175:G175))</f>
        <v/>
      </c>
      <c r="I175" s="23"/>
      <c r="J175" s="23"/>
      <c r="K175" s="23"/>
      <c r="L175" s="23"/>
      <c r="M175" s="23"/>
    </row>
    <row r="176" customFormat="false" ht="15" hidden="false" customHeight="false" outlineLevel="0" collapsed="false">
      <c r="A176" s="22"/>
      <c r="B176" s="23"/>
      <c r="C176" s="23"/>
      <c r="D176" s="23"/>
      <c r="E176" s="23"/>
      <c r="F176" s="23"/>
      <c r="G176" s="23"/>
      <c r="H176" s="23" t="str">
        <f aca="false">IF(COUNT(D176:G176)=0,"",COUNT(D176:G176))</f>
        <v/>
      </c>
      <c r="I176" s="23"/>
      <c r="J176" s="23"/>
      <c r="K176" s="23"/>
      <c r="L176" s="23"/>
      <c r="M176" s="23"/>
    </row>
    <row r="177" customFormat="false" ht="15" hidden="false" customHeight="false" outlineLevel="0" collapsed="false">
      <c r="A177" s="22"/>
      <c r="B177" s="23"/>
      <c r="C177" s="23"/>
      <c r="D177" s="23"/>
      <c r="E177" s="23"/>
      <c r="F177" s="23"/>
      <c r="G177" s="23"/>
      <c r="H177" s="23" t="str">
        <f aca="false">IF(COUNT(D177:G177)=0,"",COUNT(D177:G177))</f>
        <v/>
      </c>
      <c r="I177" s="23"/>
      <c r="J177" s="23"/>
      <c r="K177" s="23"/>
      <c r="L177" s="23"/>
      <c r="M177" s="23"/>
    </row>
    <row r="178" customFormat="false" ht="15" hidden="false" customHeight="false" outlineLevel="0" collapsed="false">
      <c r="A178" s="22"/>
      <c r="B178" s="23"/>
      <c r="C178" s="23"/>
      <c r="D178" s="23"/>
      <c r="E178" s="23"/>
      <c r="F178" s="23"/>
      <c r="G178" s="23"/>
      <c r="H178" s="23" t="str">
        <f aca="false">IF(COUNT(D178:G178)=0,"",COUNT(D178:G178))</f>
        <v/>
      </c>
      <c r="I178" s="23"/>
      <c r="J178" s="23"/>
      <c r="K178" s="23"/>
      <c r="L178" s="23"/>
      <c r="M178" s="23"/>
    </row>
    <row r="179" customFormat="false" ht="15" hidden="false" customHeight="false" outlineLevel="0" collapsed="false">
      <c r="A179" s="22"/>
      <c r="B179" s="23"/>
      <c r="C179" s="23"/>
      <c r="D179" s="23"/>
      <c r="E179" s="23"/>
      <c r="F179" s="23"/>
      <c r="G179" s="23"/>
      <c r="H179" s="23" t="str">
        <f aca="false">IF(COUNT(D179:G179)=0,"",COUNT(D179:G179))</f>
        <v/>
      </c>
      <c r="I179" s="23"/>
      <c r="J179" s="23"/>
      <c r="K179" s="23"/>
      <c r="L179" s="23"/>
      <c r="M179" s="23"/>
    </row>
    <row r="180" customFormat="false" ht="15" hidden="false" customHeight="false" outlineLevel="0" collapsed="false">
      <c r="A180" s="22"/>
      <c r="B180" s="23"/>
      <c r="C180" s="23"/>
      <c r="D180" s="23"/>
      <c r="E180" s="23"/>
      <c r="F180" s="23"/>
      <c r="G180" s="23"/>
      <c r="H180" s="23" t="str">
        <f aca="false">IF(COUNT(D180:G180)=0,"",COUNT(D180:G180))</f>
        <v/>
      </c>
      <c r="I180" s="23"/>
      <c r="J180" s="23"/>
      <c r="K180" s="23"/>
      <c r="L180" s="23"/>
      <c r="M180" s="23"/>
    </row>
    <row r="181" customFormat="false" ht="15" hidden="false" customHeight="false" outlineLevel="0" collapsed="false">
      <c r="A181" s="22"/>
      <c r="B181" s="23"/>
      <c r="C181" s="23"/>
      <c r="D181" s="23"/>
      <c r="E181" s="23"/>
      <c r="F181" s="23"/>
      <c r="G181" s="23"/>
      <c r="H181" s="23" t="str">
        <f aca="false">IF(COUNT(D181:G181)=0,"",COUNT(D181:G181))</f>
        <v/>
      </c>
      <c r="I181" s="23"/>
      <c r="J181" s="23"/>
      <c r="K181" s="23"/>
      <c r="L181" s="23"/>
      <c r="M181" s="23"/>
    </row>
    <row r="182" customFormat="false" ht="15" hidden="false" customHeight="false" outlineLevel="0" collapsed="false">
      <c r="A182" s="22"/>
      <c r="B182" s="23"/>
      <c r="C182" s="23"/>
      <c r="D182" s="23"/>
      <c r="E182" s="23"/>
      <c r="F182" s="23"/>
      <c r="G182" s="23"/>
      <c r="H182" s="23" t="str">
        <f aca="false">IF(COUNT(D182:G182)=0,"",COUNT(D182:G182))</f>
        <v/>
      </c>
      <c r="I182" s="23"/>
      <c r="J182" s="23"/>
      <c r="K182" s="23"/>
      <c r="L182" s="23"/>
      <c r="M182" s="23"/>
    </row>
    <row r="183" customFormat="false" ht="15" hidden="false" customHeight="false" outlineLevel="0" collapsed="false">
      <c r="A183" s="22"/>
      <c r="B183" s="23"/>
      <c r="C183" s="23"/>
      <c r="D183" s="23"/>
      <c r="E183" s="23"/>
      <c r="F183" s="23"/>
      <c r="G183" s="23"/>
      <c r="H183" s="23" t="str">
        <f aca="false">IF(COUNT(D183:G183)=0,"",COUNT(D183:G183))</f>
        <v/>
      </c>
      <c r="I183" s="23"/>
      <c r="J183" s="23"/>
      <c r="K183" s="23"/>
      <c r="L183" s="23"/>
      <c r="M183" s="23"/>
    </row>
    <row r="184" customFormat="false" ht="15" hidden="false" customHeight="false" outlineLevel="0" collapsed="false">
      <c r="A184" s="22"/>
      <c r="B184" s="23"/>
      <c r="C184" s="23"/>
      <c r="D184" s="23"/>
      <c r="E184" s="23"/>
      <c r="F184" s="23"/>
      <c r="G184" s="23"/>
      <c r="H184" s="23" t="str">
        <f aca="false">IF(COUNT(D184:G184)=0,"",COUNT(D184:G184))</f>
        <v/>
      </c>
      <c r="I184" s="23"/>
      <c r="J184" s="23"/>
      <c r="K184" s="23"/>
      <c r="L184" s="23"/>
      <c r="M184" s="23"/>
    </row>
    <row r="185" customFormat="false" ht="15" hidden="false" customHeight="false" outlineLevel="0" collapsed="false">
      <c r="A185" s="22"/>
      <c r="B185" s="23"/>
      <c r="C185" s="23"/>
      <c r="D185" s="23"/>
      <c r="E185" s="23"/>
      <c r="F185" s="23"/>
      <c r="G185" s="23"/>
      <c r="H185" s="23" t="str">
        <f aca="false">IF(COUNT(D185:G185)=0,"",COUNT(D185:G185))</f>
        <v/>
      </c>
      <c r="I185" s="23"/>
      <c r="J185" s="23"/>
      <c r="K185" s="23"/>
      <c r="L185" s="23"/>
      <c r="M185" s="23"/>
    </row>
    <row r="186" customFormat="false" ht="15" hidden="false" customHeight="false" outlineLevel="0" collapsed="false">
      <c r="A186" s="22"/>
      <c r="B186" s="23"/>
      <c r="C186" s="23"/>
      <c r="D186" s="23"/>
      <c r="E186" s="23"/>
      <c r="F186" s="23"/>
      <c r="G186" s="23"/>
      <c r="H186" s="23" t="str">
        <f aca="false">IF(COUNT(D186:G186)=0,"",COUNT(D186:G186))</f>
        <v/>
      </c>
      <c r="I186" s="23"/>
      <c r="J186" s="23"/>
      <c r="K186" s="23"/>
      <c r="L186" s="23"/>
      <c r="M186" s="23"/>
    </row>
    <row r="187" customFormat="false" ht="15" hidden="false" customHeight="false" outlineLevel="0" collapsed="false">
      <c r="A187" s="22"/>
      <c r="B187" s="23"/>
      <c r="C187" s="23"/>
      <c r="D187" s="23"/>
      <c r="E187" s="23"/>
      <c r="F187" s="23"/>
      <c r="G187" s="23"/>
      <c r="H187" s="23" t="str">
        <f aca="false">IF(COUNT(D187:G187)=0,"",COUNT(D187:G187))</f>
        <v/>
      </c>
      <c r="I187" s="23"/>
      <c r="J187" s="23"/>
      <c r="K187" s="23"/>
      <c r="L187" s="23"/>
      <c r="M187" s="23"/>
    </row>
    <row r="188" customFormat="false" ht="15" hidden="false" customHeight="false" outlineLevel="0" collapsed="false">
      <c r="A188" s="22"/>
      <c r="B188" s="23"/>
      <c r="C188" s="23"/>
      <c r="D188" s="23"/>
      <c r="E188" s="23"/>
      <c r="F188" s="23"/>
      <c r="G188" s="23"/>
      <c r="H188" s="23" t="str">
        <f aca="false">IF(COUNT(D188:G188)=0,"",COUNT(D188:G188))</f>
        <v/>
      </c>
      <c r="I188" s="23"/>
      <c r="J188" s="23"/>
      <c r="K188" s="23"/>
      <c r="L188" s="23"/>
      <c r="M188" s="23"/>
    </row>
    <row r="189" customFormat="false" ht="15" hidden="false" customHeight="false" outlineLevel="0" collapsed="false">
      <c r="A189" s="22"/>
      <c r="B189" s="23"/>
      <c r="C189" s="23"/>
      <c r="D189" s="23"/>
      <c r="E189" s="23"/>
      <c r="F189" s="23"/>
      <c r="G189" s="23"/>
      <c r="H189" s="23" t="str">
        <f aca="false">IF(COUNT(D189:G189)=0,"",COUNT(D189:G189))</f>
        <v/>
      </c>
      <c r="I189" s="23"/>
      <c r="J189" s="23"/>
      <c r="K189" s="23"/>
      <c r="L189" s="23"/>
      <c r="M189" s="23"/>
    </row>
    <row r="190" customFormat="false" ht="15" hidden="false" customHeight="false" outlineLevel="0" collapsed="false">
      <c r="A190" s="22"/>
      <c r="B190" s="23"/>
      <c r="C190" s="23"/>
      <c r="D190" s="23"/>
      <c r="E190" s="23"/>
      <c r="F190" s="23"/>
      <c r="G190" s="23"/>
      <c r="H190" s="23" t="str">
        <f aca="false">IF(COUNT(D190:G190)=0,"",COUNT(D190:G190))</f>
        <v/>
      </c>
      <c r="I190" s="23"/>
      <c r="J190" s="23"/>
      <c r="K190" s="23"/>
      <c r="L190" s="23"/>
      <c r="M190" s="23"/>
    </row>
    <row r="191" customFormat="false" ht="15" hidden="false" customHeight="false" outlineLevel="0" collapsed="false">
      <c r="A191" s="22"/>
      <c r="B191" s="23"/>
      <c r="C191" s="23"/>
      <c r="D191" s="23"/>
      <c r="E191" s="23"/>
      <c r="F191" s="23"/>
      <c r="G191" s="23"/>
      <c r="H191" s="23" t="str">
        <f aca="false">IF(COUNT(D191:G191)=0,"",COUNT(D191:G191))</f>
        <v/>
      </c>
      <c r="I191" s="23"/>
      <c r="J191" s="23"/>
      <c r="K191" s="23"/>
      <c r="L191" s="23"/>
      <c r="M191" s="23"/>
    </row>
    <row r="192" customFormat="false" ht="15" hidden="false" customHeight="false" outlineLevel="0" collapsed="false">
      <c r="A192" s="22"/>
      <c r="B192" s="23"/>
      <c r="C192" s="23"/>
      <c r="D192" s="23"/>
      <c r="E192" s="23"/>
      <c r="F192" s="23"/>
      <c r="G192" s="23"/>
      <c r="H192" s="23" t="str">
        <f aca="false">IF(COUNT(D192:G192)=0,"",COUNT(D192:G192))</f>
        <v/>
      </c>
      <c r="I192" s="23"/>
      <c r="J192" s="23"/>
      <c r="K192" s="23"/>
      <c r="L192" s="23"/>
      <c r="M192" s="23"/>
    </row>
    <row r="193" customFormat="false" ht="15" hidden="false" customHeight="false" outlineLevel="0" collapsed="false">
      <c r="A193" s="22"/>
      <c r="B193" s="23"/>
      <c r="C193" s="23"/>
      <c r="D193" s="23"/>
      <c r="E193" s="23"/>
      <c r="F193" s="23"/>
      <c r="G193" s="23"/>
      <c r="H193" s="23" t="str">
        <f aca="false">IF(COUNT(D193:G193)=0,"",COUNT(D193:G193))</f>
        <v/>
      </c>
      <c r="I193" s="23"/>
      <c r="J193" s="23"/>
      <c r="K193" s="23"/>
      <c r="L193" s="23"/>
      <c r="M193" s="23"/>
    </row>
    <row r="194" customFormat="false" ht="15" hidden="false" customHeight="false" outlineLevel="0" collapsed="false">
      <c r="A194" s="22"/>
      <c r="B194" s="23"/>
      <c r="C194" s="23"/>
      <c r="D194" s="23"/>
      <c r="E194" s="23"/>
      <c r="F194" s="23"/>
      <c r="G194" s="23"/>
      <c r="H194" s="23" t="str">
        <f aca="false">IF(COUNT(D194:G194)=0,"",COUNT(D194:G194))</f>
        <v/>
      </c>
      <c r="I194" s="23"/>
      <c r="J194" s="23"/>
      <c r="K194" s="23"/>
      <c r="L194" s="23"/>
      <c r="M194" s="23"/>
    </row>
    <row r="195" customFormat="false" ht="15" hidden="false" customHeight="false" outlineLevel="0" collapsed="false">
      <c r="A195" s="22"/>
      <c r="B195" s="23"/>
      <c r="C195" s="23"/>
      <c r="D195" s="23"/>
      <c r="E195" s="23"/>
      <c r="F195" s="23"/>
      <c r="G195" s="23"/>
      <c r="H195" s="23" t="str">
        <f aca="false">IF(COUNT(D195:G195)=0,"",COUNT(D195:G195))</f>
        <v/>
      </c>
      <c r="I195" s="23"/>
      <c r="J195" s="23"/>
      <c r="K195" s="23"/>
      <c r="L195" s="23"/>
      <c r="M195" s="23"/>
    </row>
    <row r="196" customFormat="false" ht="15" hidden="false" customHeight="false" outlineLevel="0" collapsed="false">
      <c r="A196" s="22"/>
      <c r="B196" s="23"/>
      <c r="C196" s="23"/>
      <c r="D196" s="23"/>
      <c r="E196" s="23"/>
      <c r="F196" s="23"/>
      <c r="G196" s="23"/>
      <c r="H196" s="23" t="str">
        <f aca="false">IF(COUNT(D196:G196)=0,"",COUNT(D196:G196))</f>
        <v/>
      </c>
      <c r="I196" s="23"/>
      <c r="J196" s="23"/>
      <c r="K196" s="23"/>
      <c r="L196" s="23"/>
      <c r="M196" s="23"/>
    </row>
    <row r="197" customFormat="false" ht="15" hidden="false" customHeight="false" outlineLevel="0" collapsed="false">
      <c r="A197" s="22"/>
      <c r="B197" s="23"/>
      <c r="C197" s="23"/>
      <c r="D197" s="23"/>
      <c r="E197" s="23"/>
      <c r="F197" s="23"/>
      <c r="G197" s="23"/>
      <c r="H197" s="23" t="str">
        <f aca="false">IF(COUNT(D197:G197)=0,"",COUNT(D197:G197))</f>
        <v/>
      </c>
      <c r="I197" s="23"/>
      <c r="J197" s="23"/>
      <c r="K197" s="23"/>
      <c r="L197" s="23"/>
      <c r="M197" s="23"/>
    </row>
    <row r="198" customFormat="false" ht="15" hidden="false" customHeight="false" outlineLevel="0" collapsed="false">
      <c r="A198" s="22"/>
      <c r="B198" s="23"/>
      <c r="C198" s="23"/>
      <c r="D198" s="23"/>
      <c r="E198" s="23"/>
      <c r="F198" s="23"/>
      <c r="G198" s="23"/>
      <c r="H198" s="23" t="str">
        <f aca="false">IF(COUNT(D198:G198)=0,"",COUNT(D198:G198))</f>
        <v/>
      </c>
      <c r="I198" s="23"/>
      <c r="J198" s="23"/>
      <c r="K198" s="23"/>
      <c r="L198" s="23"/>
      <c r="M198" s="23"/>
    </row>
    <row r="199" customFormat="false" ht="15" hidden="false" customHeight="false" outlineLevel="0" collapsed="false">
      <c r="A199" s="22"/>
      <c r="B199" s="23"/>
      <c r="C199" s="23"/>
      <c r="D199" s="23"/>
      <c r="E199" s="23"/>
      <c r="F199" s="23"/>
      <c r="G199" s="23"/>
      <c r="H199" s="23" t="str">
        <f aca="false">IF(COUNT(D199:G199)=0,"",COUNT(D199:G199))</f>
        <v/>
      </c>
      <c r="I199" s="23"/>
      <c r="J199" s="23"/>
      <c r="K199" s="23"/>
      <c r="L199" s="23"/>
      <c r="M199" s="23"/>
    </row>
    <row r="200" customFormat="false" ht="15" hidden="false" customHeight="false" outlineLevel="0" collapsed="false">
      <c r="A200" s="22"/>
      <c r="B200" s="23"/>
      <c r="C200" s="23"/>
      <c r="D200" s="23"/>
      <c r="E200" s="23"/>
      <c r="F200" s="23"/>
      <c r="G200" s="23"/>
      <c r="H200" s="23" t="str">
        <f aca="false">IF(COUNT(D200:G200)=0,"",COUNT(D200:G200))</f>
        <v/>
      </c>
      <c r="I200" s="23"/>
      <c r="J200" s="23"/>
      <c r="K200" s="23"/>
      <c r="L200" s="23"/>
      <c r="M200" s="23"/>
    </row>
    <row r="201" customFormat="false" ht="15" hidden="false" customHeight="false" outlineLevel="0" collapsed="false">
      <c r="A201" s="22"/>
      <c r="B201" s="23"/>
      <c r="C201" s="23"/>
      <c r="D201" s="23"/>
      <c r="E201" s="23"/>
      <c r="F201" s="23"/>
      <c r="G201" s="23"/>
      <c r="H201" s="23" t="str">
        <f aca="false">IF(COUNT(D201:G201)=0,"",COUNT(D201:G201))</f>
        <v/>
      </c>
      <c r="I201" s="23"/>
      <c r="J201" s="23"/>
      <c r="K201" s="23"/>
      <c r="L201" s="23"/>
      <c r="M201" s="23"/>
    </row>
    <row r="202" customFormat="false" ht="15" hidden="false" customHeight="false" outlineLevel="0" collapsed="false">
      <c r="A202" s="22"/>
      <c r="B202" s="23"/>
      <c r="C202" s="23"/>
      <c r="D202" s="23"/>
      <c r="E202" s="23"/>
      <c r="F202" s="23"/>
      <c r="G202" s="23"/>
      <c r="H202" s="23" t="str">
        <f aca="false">IF(COUNT(D202:G202)=0,"",COUNT(D202:G202))</f>
        <v/>
      </c>
      <c r="I202" s="23"/>
      <c r="J202" s="23"/>
      <c r="K202" s="23"/>
      <c r="L202" s="23"/>
      <c r="M202" s="23"/>
    </row>
    <row r="203" customFormat="false" ht="15" hidden="false" customHeight="false" outlineLevel="0" collapsed="false">
      <c r="A203" s="22"/>
      <c r="B203" s="23"/>
      <c r="C203" s="23"/>
      <c r="D203" s="23"/>
      <c r="E203" s="23"/>
      <c r="F203" s="23"/>
      <c r="G203" s="23"/>
      <c r="H203" s="23" t="str">
        <f aca="false">IF(COUNT(D203:G203)=0,"",COUNT(D203:G203))</f>
        <v/>
      </c>
      <c r="I203" s="23"/>
      <c r="J203" s="23"/>
      <c r="K203" s="23"/>
      <c r="L203" s="23"/>
      <c r="M203" s="23"/>
    </row>
    <row r="204" customFormat="false" ht="15" hidden="false" customHeight="false" outlineLevel="0" collapsed="false">
      <c r="A204" s="22"/>
      <c r="B204" s="23"/>
      <c r="C204" s="23"/>
      <c r="D204" s="23"/>
      <c r="E204" s="23"/>
      <c r="F204" s="23"/>
      <c r="G204" s="23"/>
      <c r="H204" s="23" t="str">
        <f aca="false">IF(COUNT(D204:G204)=0,"",COUNT(D204:G204))</f>
        <v/>
      </c>
      <c r="I204" s="23"/>
      <c r="J204" s="23"/>
      <c r="K204" s="23"/>
      <c r="L204" s="23"/>
      <c r="M204" s="23"/>
    </row>
  </sheetData>
  <dataValidations count="2">
    <dataValidation allowBlank="true" errorStyle="stop" operator="between" showDropDown="false" showErrorMessage="false" showInputMessage="false" sqref="B5:B204" type="list">
      <formula1>"LC Weekly,LC Biweekly,Virtual,Mock OA,Mock Interview,Codeforces"</formula1>
      <formula2>0</formula2>
    </dataValidation>
    <dataValidation allowBlank="true" errorStyle="stop" operator="between" showDropDown="false" showErrorMessage="false" showInputMessage="false" sqref="K5:K20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596</v>
      </c>
    </row>
    <row r="3" customFormat="false" ht="15" hidden="false" customHeight="false" outlineLevel="0" collapsed="false">
      <c r="A3" s="3" t="s">
        <v>597</v>
      </c>
      <c r="B3" s="24" t="n">
        <f aca="false">SUM(B9:B43)</f>
        <v>394</v>
      </c>
      <c r="C3" s="5" t="s">
        <v>598</v>
      </c>
      <c r="D3" s="24"/>
      <c r="E3" s="24"/>
      <c r="F3" s="24"/>
    </row>
    <row r="4" customFormat="false" ht="15" hidden="false" customHeight="false" outlineLevel="0" collapsed="false">
      <c r="A4" s="3" t="s">
        <v>599</v>
      </c>
      <c r="B4" s="24" t="n">
        <f aca="false">SUM(D9:D43)</f>
        <v>0</v>
      </c>
      <c r="C4" s="24"/>
      <c r="D4" s="24"/>
      <c r="E4" s="24"/>
      <c r="F4" s="24"/>
    </row>
    <row r="5" customFormat="false" ht="15" hidden="false" customHeight="false" outlineLevel="0" collapsed="false">
      <c r="A5" s="3" t="s">
        <v>20</v>
      </c>
      <c r="B5" s="24" t="n">
        <f aca="false">SUM(E9:E43)</f>
        <v>0</v>
      </c>
      <c r="C5" s="24"/>
      <c r="D5" s="24"/>
      <c r="E5" s="24"/>
      <c r="F5" s="24"/>
    </row>
    <row r="6" customFormat="false" ht="15" hidden="false" customHeight="false" outlineLevel="0" collapsed="false">
      <c r="A6" s="3" t="s">
        <v>600</v>
      </c>
      <c r="B6" s="24" t="n">
        <f aca="true">COUNTIFS(Problems!$K:$K,"&lt;="&amp;TODAY())</f>
        <v>0</v>
      </c>
      <c r="C6" s="24"/>
      <c r="D6" s="24"/>
      <c r="E6" s="24"/>
      <c r="F6" s="24"/>
    </row>
    <row r="7" customFormat="false" ht="15" hidden="false" customHeight="false" outlineLevel="0" collapsed="false">
      <c r="A7" s="3" t="s">
        <v>601</v>
      </c>
      <c r="B7" s="25" t="n">
        <f aca="false">IF(B3=0,0,B4/B3)</f>
        <v>0</v>
      </c>
      <c r="C7" s="24"/>
      <c r="D7" s="24"/>
      <c r="E7" s="24"/>
      <c r="F7" s="24"/>
    </row>
    <row r="8" customFormat="false" ht="15" hidden="false" customHeight="false" outlineLevel="0" collapsed="false">
      <c r="A8" s="9" t="s">
        <v>170</v>
      </c>
      <c r="B8" s="9" t="s">
        <v>168</v>
      </c>
      <c r="C8" s="9" t="s">
        <v>14</v>
      </c>
      <c r="D8" s="9" t="s">
        <v>602</v>
      </c>
      <c r="E8" s="9" t="s">
        <v>20</v>
      </c>
      <c r="F8" s="9" t="s">
        <v>603</v>
      </c>
    </row>
    <row r="9" customFormat="false" ht="15" hidden="false" customHeight="false" outlineLevel="0" collapsed="false">
      <c r="A9" s="16" t="s">
        <v>85</v>
      </c>
      <c r="B9" s="16" t="n">
        <f aca="false">COUNTIF(Problems!$C:$C,A9)</f>
        <v>11</v>
      </c>
      <c r="C9" s="16" t="n">
        <f aca="false">COUNTIFS(Problems!$C:$C,A9,Problems!$G:$G,"Todo")</f>
        <v>11</v>
      </c>
      <c r="D9" s="16" t="n">
        <f aca="false">B9-C9</f>
        <v>0</v>
      </c>
      <c r="E9" s="16" t="n">
        <f aca="false">COUNTIFS(Problems!$C:$C,A9,Problems!$G:$G,"Mastered")</f>
        <v>0</v>
      </c>
      <c r="F9" s="26" t="n">
        <f aca="false">IF(B9=0,0,D9/B9)</f>
        <v>0</v>
      </c>
    </row>
    <row r="10" customFormat="false" ht="15" hidden="false" customHeight="false" outlineLevel="0" collapsed="false">
      <c r="A10" s="16" t="s">
        <v>88</v>
      </c>
      <c r="B10" s="16" t="n">
        <f aca="false">COUNTIF(Problems!$C:$C,A10)</f>
        <v>11</v>
      </c>
      <c r="C10" s="16" t="n">
        <f aca="false">COUNTIFS(Problems!$C:$C,A10,Problems!$G:$G,"Todo")</f>
        <v>11</v>
      </c>
      <c r="D10" s="16" t="n">
        <f aca="false">B10-C10</f>
        <v>0</v>
      </c>
      <c r="E10" s="16" t="n">
        <f aca="false">COUNTIFS(Problems!$C:$C,A10,Problems!$G:$G,"Mastered")</f>
        <v>0</v>
      </c>
      <c r="F10" s="26" t="n">
        <f aca="false">IF(B10=0,0,D10/B10)</f>
        <v>0</v>
      </c>
    </row>
    <row r="11" customFormat="false" ht="15" hidden="false" customHeight="false" outlineLevel="0" collapsed="false">
      <c r="A11" s="16" t="s">
        <v>91</v>
      </c>
      <c r="B11" s="16" t="n">
        <f aca="false">COUNTIF(Problems!$C:$C,A11)</f>
        <v>10</v>
      </c>
      <c r="C11" s="16" t="n">
        <f aca="false">COUNTIFS(Problems!$C:$C,A11,Problems!$G:$G,"Todo")</f>
        <v>10</v>
      </c>
      <c r="D11" s="16" t="n">
        <f aca="false">B11-C11</f>
        <v>0</v>
      </c>
      <c r="E11" s="16" t="n">
        <f aca="false">COUNTIFS(Problems!$C:$C,A11,Problems!$G:$G,"Mastered")</f>
        <v>0</v>
      </c>
      <c r="F11" s="26" t="n">
        <f aca="false">IF(B11=0,0,D11/B11)</f>
        <v>0</v>
      </c>
    </row>
    <row r="12" customFormat="false" ht="15" hidden="false" customHeight="false" outlineLevel="0" collapsed="false">
      <c r="A12" s="16" t="s">
        <v>93</v>
      </c>
      <c r="B12" s="16" t="n">
        <f aca="false">COUNTIF(Problems!$C:$C,A12)</f>
        <v>10</v>
      </c>
      <c r="C12" s="16" t="n">
        <f aca="false">COUNTIFS(Problems!$C:$C,A12,Problems!$G:$G,"Todo")</f>
        <v>10</v>
      </c>
      <c r="D12" s="16" t="n">
        <f aca="false">B12-C12</f>
        <v>0</v>
      </c>
      <c r="E12" s="16" t="n">
        <f aca="false">COUNTIFS(Problems!$C:$C,A12,Problems!$G:$G,"Mastered")</f>
        <v>0</v>
      </c>
      <c r="F12" s="26" t="n">
        <f aca="false">IF(B12=0,0,D12/B12)</f>
        <v>0</v>
      </c>
    </row>
    <row r="13" customFormat="false" ht="15" hidden="false" customHeight="false" outlineLevel="0" collapsed="false">
      <c r="A13" s="16" t="s">
        <v>95</v>
      </c>
      <c r="B13" s="16" t="n">
        <f aca="false">COUNTIF(Problems!$C:$C,A13)</f>
        <v>13</v>
      </c>
      <c r="C13" s="16" t="n">
        <f aca="false">COUNTIFS(Problems!$C:$C,A13,Problems!$G:$G,"Todo")</f>
        <v>13</v>
      </c>
      <c r="D13" s="16" t="n">
        <f aca="false">B13-C13</f>
        <v>0</v>
      </c>
      <c r="E13" s="16" t="n">
        <f aca="false">COUNTIFS(Problems!$C:$C,A13,Problems!$G:$G,"Mastered")</f>
        <v>0</v>
      </c>
      <c r="F13" s="26" t="n">
        <f aca="false">IF(B13=0,0,D13/B13)</f>
        <v>0</v>
      </c>
    </row>
    <row r="14" customFormat="false" ht="15" hidden="false" customHeight="false" outlineLevel="0" collapsed="false">
      <c r="A14" s="16" t="s">
        <v>97</v>
      </c>
      <c r="B14" s="16" t="n">
        <f aca="false">COUNTIF(Problems!$C:$C,A14)</f>
        <v>15</v>
      </c>
      <c r="C14" s="16" t="n">
        <f aca="false">COUNTIFS(Problems!$C:$C,A14,Problems!$G:$G,"Todo")</f>
        <v>15</v>
      </c>
      <c r="D14" s="16" t="n">
        <f aca="false">B14-C14</f>
        <v>0</v>
      </c>
      <c r="E14" s="16" t="n">
        <f aca="false">COUNTIFS(Problems!$C:$C,A14,Problems!$G:$G,"Mastered")</f>
        <v>0</v>
      </c>
      <c r="F14" s="26" t="n">
        <f aca="false">IF(B14=0,0,D14/B14)</f>
        <v>0</v>
      </c>
    </row>
    <row r="15" customFormat="false" ht="15" hidden="false" customHeight="false" outlineLevel="0" collapsed="false">
      <c r="A15" s="16" t="s">
        <v>99</v>
      </c>
      <c r="B15" s="16" t="n">
        <f aca="false">COUNTIF(Problems!$C:$C,A15)</f>
        <v>15</v>
      </c>
      <c r="C15" s="16" t="n">
        <f aca="false">COUNTIFS(Problems!$C:$C,A15,Problems!$G:$G,"Todo")</f>
        <v>15</v>
      </c>
      <c r="D15" s="16" t="n">
        <f aca="false">B15-C15</f>
        <v>0</v>
      </c>
      <c r="E15" s="16" t="n">
        <f aca="false">COUNTIFS(Problems!$C:$C,A15,Problems!$G:$G,"Mastered")</f>
        <v>0</v>
      </c>
      <c r="F15" s="26" t="n">
        <f aca="false">IF(B15=0,0,D15/B15)</f>
        <v>0</v>
      </c>
    </row>
    <row r="16" customFormat="false" ht="15" hidden="false" customHeight="false" outlineLevel="0" collapsed="false">
      <c r="A16" s="16" t="s">
        <v>103</v>
      </c>
      <c r="B16" s="16" t="n">
        <f aca="false">COUNTIF(Problems!$C:$C,A16)</f>
        <v>15</v>
      </c>
      <c r="C16" s="16" t="n">
        <f aca="false">COUNTIFS(Problems!$C:$C,A16,Problems!$G:$G,"Todo")</f>
        <v>15</v>
      </c>
      <c r="D16" s="16" t="n">
        <f aca="false">B16-C16</f>
        <v>0</v>
      </c>
      <c r="E16" s="16" t="n">
        <f aca="false">COUNTIFS(Problems!$C:$C,A16,Problems!$G:$G,"Mastered")</f>
        <v>0</v>
      </c>
      <c r="F16" s="26" t="n">
        <f aca="false">IF(B16=0,0,D16/B16)</f>
        <v>0</v>
      </c>
    </row>
    <row r="17" customFormat="false" ht="15" hidden="false" customHeight="false" outlineLevel="0" collapsed="false">
      <c r="A17" s="16" t="s">
        <v>105</v>
      </c>
      <c r="B17" s="16" t="n">
        <f aca="false">COUNTIF(Problems!$C:$C,A17)</f>
        <v>12</v>
      </c>
      <c r="C17" s="16" t="n">
        <f aca="false">COUNTIFS(Problems!$C:$C,A17,Problems!$G:$G,"Todo")</f>
        <v>12</v>
      </c>
      <c r="D17" s="16" t="n">
        <f aca="false">B17-C17</f>
        <v>0</v>
      </c>
      <c r="E17" s="16" t="n">
        <f aca="false">COUNTIFS(Problems!$C:$C,A17,Problems!$G:$G,"Mastered")</f>
        <v>0</v>
      </c>
      <c r="F17" s="26" t="n">
        <f aca="false">IF(B17=0,0,D17/B17)</f>
        <v>0</v>
      </c>
    </row>
    <row r="18" customFormat="false" ht="15" hidden="false" customHeight="false" outlineLevel="0" collapsed="false">
      <c r="A18" s="16" t="s">
        <v>107</v>
      </c>
      <c r="B18" s="16" t="n">
        <f aca="false">COUNTIF(Problems!$C:$C,A18)</f>
        <v>12</v>
      </c>
      <c r="C18" s="16" t="n">
        <f aca="false">COUNTIFS(Problems!$C:$C,A18,Problems!$G:$G,"Todo")</f>
        <v>12</v>
      </c>
      <c r="D18" s="16" t="n">
        <f aca="false">B18-C18</f>
        <v>0</v>
      </c>
      <c r="E18" s="16" t="n">
        <f aca="false">COUNTIFS(Problems!$C:$C,A18,Problems!$G:$G,"Mastered")</f>
        <v>0</v>
      </c>
      <c r="F18" s="26" t="n">
        <f aca="false">IF(B18=0,0,D18/B18)</f>
        <v>0</v>
      </c>
    </row>
    <row r="19" customFormat="false" ht="15" hidden="false" customHeight="false" outlineLevel="0" collapsed="false">
      <c r="A19" s="16" t="s">
        <v>109</v>
      </c>
      <c r="B19" s="16" t="n">
        <f aca="false">COUNTIF(Problems!$C:$C,A19)</f>
        <v>13</v>
      </c>
      <c r="C19" s="16" t="n">
        <f aca="false">COUNTIFS(Problems!$C:$C,A19,Problems!$G:$G,"Todo")</f>
        <v>13</v>
      </c>
      <c r="D19" s="16" t="n">
        <f aca="false">B19-C19</f>
        <v>0</v>
      </c>
      <c r="E19" s="16" t="n">
        <f aca="false">COUNTIFS(Problems!$C:$C,A19,Problems!$G:$G,"Mastered")</f>
        <v>0</v>
      </c>
      <c r="F19" s="26" t="n">
        <f aca="false">IF(B19=0,0,D19/B19)</f>
        <v>0</v>
      </c>
    </row>
    <row r="20" customFormat="false" ht="15" hidden="false" customHeight="false" outlineLevel="0" collapsed="false">
      <c r="A20" s="16" t="s">
        <v>111</v>
      </c>
      <c r="B20" s="16" t="n">
        <f aca="false">COUNTIF(Problems!$C:$C,A20)</f>
        <v>12</v>
      </c>
      <c r="C20" s="16" t="n">
        <f aca="false">COUNTIFS(Problems!$C:$C,A20,Problems!$G:$G,"Todo")</f>
        <v>12</v>
      </c>
      <c r="D20" s="16" t="n">
        <f aca="false">B20-C20</f>
        <v>0</v>
      </c>
      <c r="E20" s="16" t="n">
        <f aca="false">COUNTIFS(Problems!$C:$C,A20,Problems!$G:$G,"Mastered")</f>
        <v>0</v>
      </c>
      <c r="F20" s="26" t="n">
        <f aca="false">IF(B20=0,0,D20/B20)</f>
        <v>0</v>
      </c>
    </row>
    <row r="21" customFormat="false" ht="15" hidden="false" customHeight="false" outlineLevel="0" collapsed="false">
      <c r="A21" s="16" t="s">
        <v>113</v>
      </c>
      <c r="B21" s="16" t="n">
        <f aca="false">COUNTIF(Problems!$C:$C,A21)</f>
        <v>9</v>
      </c>
      <c r="C21" s="16" t="n">
        <f aca="false">COUNTIFS(Problems!$C:$C,A21,Problems!$G:$G,"Todo")</f>
        <v>9</v>
      </c>
      <c r="D21" s="16" t="n">
        <f aca="false">B21-C21</f>
        <v>0</v>
      </c>
      <c r="E21" s="16" t="n">
        <f aca="false">COUNTIFS(Problems!$C:$C,A21,Problems!$G:$G,"Mastered")</f>
        <v>0</v>
      </c>
      <c r="F21" s="26" t="n">
        <f aca="false">IF(B21=0,0,D21/B21)</f>
        <v>0</v>
      </c>
    </row>
    <row r="22" customFormat="false" ht="15" hidden="false" customHeight="false" outlineLevel="0" collapsed="false">
      <c r="A22" s="16" t="s">
        <v>115</v>
      </c>
      <c r="B22" s="16" t="n">
        <f aca="false">COUNTIF(Problems!$C:$C,A22)</f>
        <v>14</v>
      </c>
      <c r="C22" s="16" t="n">
        <f aca="false">COUNTIFS(Problems!$C:$C,A22,Problems!$G:$G,"Todo")</f>
        <v>14</v>
      </c>
      <c r="D22" s="16" t="n">
        <f aca="false">B22-C22</f>
        <v>0</v>
      </c>
      <c r="E22" s="16" t="n">
        <f aca="false">COUNTIFS(Problems!$C:$C,A22,Problems!$G:$G,"Mastered")</f>
        <v>0</v>
      </c>
      <c r="F22" s="26" t="n">
        <f aca="false">IF(B22=0,0,D22/B22)</f>
        <v>0</v>
      </c>
    </row>
    <row r="23" customFormat="false" ht="15" hidden="false" customHeight="false" outlineLevel="0" collapsed="false">
      <c r="A23" s="16" t="s">
        <v>117</v>
      </c>
      <c r="B23" s="16" t="n">
        <f aca="false">COUNTIF(Problems!$C:$C,A23)</f>
        <v>12</v>
      </c>
      <c r="C23" s="16" t="n">
        <f aca="false">COUNTIFS(Problems!$C:$C,A23,Problems!$G:$G,"Todo")</f>
        <v>12</v>
      </c>
      <c r="D23" s="16" t="n">
        <f aca="false">B23-C23</f>
        <v>0</v>
      </c>
      <c r="E23" s="16" t="n">
        <f aca="false">COUNTIFS(Problems!$C:$C,A23,Problems!$G:$G,"Mastered")</f>
        <v>0</v>
      </c>
      <c r="F23" s="26" t="n">
        <f aca="false">IF(B23=0,0,D23/B23)</f>
        <v>0</v>
      </c>
    </row>
    <row r="24" customFormat="false" ht="15" hidden="false" customHeight="false" outlineLevel="0" collapsed="false">
      <c r="A24" s="16" t="s">
        <v>119</v>
      </c>
      <c r="B24" s="16" t="n">
        <f aca="false">COUNTIF(Problems!$C:$C,A24)</f>
        <v>12</v>
      </c>
      <c r="C24" s="16" t="n">
        <f aca="false">COUNTIFS(Problems!$C:$C,A24,Problems!$G:$G,"Todo")</f>
        <v>12</v>
      </c>
      <c r="D24" s="16" t="n">
        <f aca="false">B24-C24</f>
        <v>0</v>
      </c>
      <c r="E24" s="16" t="n">
        <f aca="false">COUNTIFS(Problems!$C:$C,A24,Problems!$G:$G,"Mastered")</f>
        <v>0</v>
      </c>
      <c r="F24" s="26" t="n">
        <f aca="false">IF(B24=0,0,D24/B24)</f>
        <v>0</v>
      </c>
    </row>
    <row r="25" customFormat="false" ht="15" hidden="false" customHeight="false" outlineLevel="0" collapsed="false">
      <c r="A25" s="16" t="s">
        <v>123</v>
      </c>
      <c r="B25" s="16" t="n">
        <f aca="false">COUNTIF(Problems!$C:$C,A25)</f>
        <v>13</v>
      </c>
      <c r="C25" s="16" t="n">
        <f aca="false">COUNTIFS(Problems!$C:$C,A25,Problems!$G:$G,"Todo")</f>
        <v>13</v>
      </c>
      <c r="D25" s="16" t="n">
        <f aca="false">B25-C25</f>
        <v>0</v>
      </c>
      <c r="E25" s="16" t="n">
        <f aca="false">COUNTIFS(Problems!$C:$C,A25,Problems!$G:$G,"Mastered")</f>
        <v>0</v>
      </c>
      <c r="F25" s="26" t="n">
        <f aca="false">IF(B25=0,0,D25/B25)</f>
        <v>0</v>
      </c>
    </row>
    <row r="26" customFormat="false" ht="15" hidden="false" customHeight="false" outlineLevel="0" collapsed="false">
      <c r="A26" s="16" t="s">
        <v>125</v>
      </c>
      <c r="B26" s="16" t="n">
        <f aca="false">COUNTIF(Problems!$C:$C,A26)</f>
        <v>12</v>
      </c>
      <c r="C26" s="16" t="n">
        <f aca="false">COUNTIFS(Problems!$C:$C,A26,Problems!$G:$G,"Todo")</f>
        <v>12</v>
      </c>
      <c r="D26" s="16" t="n">
        <f aca="false">B26-C26</f>
        <v>0</v>
      </c>
      <c r="E26" s="16" t="n">
        <f aca="false">COUNTIFS(Problems!$C:$C,A26,Problems!$G:$G,"Mastered")</f>
        <v>0</v>
      </c>
      <c r="F26" s="26" t="n">
        <f aca="false">IF(B26=0,0,D26/B26)</f>
        <v>0</v>
      </c>
    </row>
    <row r="27" customFormat="false" ht="15" hidden="false" customHeight="false" outlineLevel="0" collapsed="false">
      <c r="A27" s="16" t="s">
        <v>127</v>
      </c>
      <c r="B27" s="16" t="n">
        <f aca="false">COUNTIF(Problems!$C:$C,A27)</f>
        <v>11</v>
      </c>
      <c r="C27" s="16" t="n">
        <f aca="false">COUNTIFS(Problems!$C:$C,A27,Problems!$G:$G,"Todo")</f>
        <v>11</v>
      </c>
      <c r="D27" s="16" t="n">
        <f aca="false">B27-C27</f>
        <v>0</v>
      </c>
      <c r="E27" s="16" t="n">
        <f aca="false">COUNTIFS(Problems!$C:$C,A27,Problems!$G:$G,"Mastered")</f>
        <v>0</v>
      </c>
      <c r="F27" s="26" t="n">
        <f aca="false">IF(B27=0,0,D27/B27)</f>
        <v>0</v>
      </c>
    </row>
    <row r="28" customFormat="false" ht="15" hidden="false" customHeight="false" outlineLevel="0" collapsed="false">
      <c r="A28" s="16" t="s">
        <v>129</v>
      </c>
      <c r="B28" s="16" t="n">
        <f aca="false">COUNTIF(Problems!$C:$C,A28)</f>
        <v>10</v>
      </c>
      <c r="C28" s="16" t="n">
        <f aca="false">COUNTIFS(Problems!$C:$C,A28,Problems!$G:$G,"Todo")</f>
        <v>10</v>
      </c>
      <c r="D28" s="16" t="n">
        <f aca="false">B28-C28</f>
        <v>0</v>
      </c>
      <c r="E28" s="16" t="n">
        <f aca="false">COUNTIFS(Problems!$C:$C,A28,Problems!$G:$G,"Mastered")</f>
        <v>0</v>
      </c>
      <c r="F28" s="26" t="n">
        <f aca="false">IF(B28=0,0,D28/B28)</f>
        <v>0</v>
      </c>
    </row>
    <row r="29" customFormat="false" ht="15" hidden="false" customHeight="false" outlineLevel="0" collapsed="false">
      <c r="A29" s="16" t="s">
        <v>131</v>
      </c>
      <c r="B29" s="16" t="n">
        <f aca="false">COUNTIF(Problems!$C:$C,A29)</f>
        <v>11</v>
      </c>
      <c r="C29" s="16" t="n">
        <f aca="false">COUNTIFS(Problems!$C:$C,A29,Problems!$G:$G,"Todo")</f>
        <v>11</v>
      </c>
      <c r="D29" s="16" t="n">
        <f aca="false">B29-C29</f>
        <v>0</v>
      </c>
      <c r="E29" s="16" t="n">
        <f aca="false">COUNTIFS(Problems!$C:$C,A29,Problems!$G:$G,"Mastered")</f>
        <v>0</v>
      </c>
      <c r="F29" s="26" t="n">
        <f aca="false">IF(B29=0,0,D29/B29)</f>
        <v>0</v>
      </c>
    </row>
    <row r="30" customFormat="false" ht="15" hidden="false" customHeight="false" outlineLevel="0" collapsed="false">
      <c r="A30" s="16" t="s">
        <v>133</v>
      </c>
      <c r="B30" s="16" t="n">
        <f aca="false">COUNTIF(Problems!$C:$C,A30)</f>
        <v>11</v>
      </c>
      <c r="C30" s="16" t="n">
        <f aca="false">COUNTIFS(Problems!$C:$C,A30,Problems!$G:$G,"Todo")</f>
        <v>11</v>
      </c>
      <c r="D30" s="16" t="n">
        <f aca="false">B30-C30</f>
        <v>0</v>
      </c>
      <c r="E30" s="16" t="n">
        <f aca="false">COUNTIFS(Problems!$C:$C,A30,Problems!$G:$G,"Mastered")</f>
        <v>0</v>
      </c>
      <c r="F30" s="26" t="n">
        <f aca="false">IF(B30=0,0,D30/B30)</f>
        <v>0</v>
      </c>
    </row>
    <row r="31" customFormat="false" ht="15" hidden="false" customHeight="false" outlineLevel="0" collapsed="false">
      <c r="A31" s="16" t="s">
        <v>135</v>
      </c>
      <c r="B31" s="16" t="n">
        <f aca="false">COUNTIF(Problems!$C:$C,A31)</f>
        <v>9</v>
      </c>
      <c r="C31" s="16" t="n">
        <f aca="false">COUNTIFS(Problems!$C:$C,A31,Problems!$G:$G,"Todo")</f>
        <v>9</v>
      </c>
      <c r="D31" s="16" t="n">
        <f aca="false">B31-C31</f>
        <v>0</v>
      </c>
      <c r="E31" s="16" t="n">
        <f aca="false">COUNTIFS(Problems!$C:$C,A31,Problems!$G:$G,"Mastered")</f>
        <v>0</v>
      </c>
      <c r="F31" s="26" t="n">
        <f aca="false">IF(B31=0,0,D31/B31)</f>
        <v>0</v>
      </c>
    </row>
    <row r="32" customFormat="false" ht="15" hidden="false" customHeight="false" outlineLevel="0" collapsed="false">
      <c r="A32" s="16" t="s">
        <v>137</v>
      </c>
      <c r="B32" s="16" t="n">
        <f aca="false">COUNTIF(Problems!$C:$C,A32)</f>
        <v>8</v>
      </c>
      <c r="C32" s="16" t="n">
        <f aca="false">COUNTIFS(Problems!$C:$C,A32,Problems!$G:$G,"Todo")</f>
        <v>8</v>
      </c>
      <c r="D32" s="16" t="n">
        <f aca="false">B32-C32</f>
        <v>0</v>
      </c>
      <c r="E32" s="16" t="n">
        <f aca="false">COUNTIFS(Problems!$C:$C,A32,Problems!$G:$G,"Mastered")</f>
        <v>0</v>
      </c>
      <c r="F32" s="26" t="n">
        <f aca="false">IF(B32=0,0,D32/B32)</f>
        <v>0</v>
      </c>
    </row>
    <row r="33" customFormat="false" ht="15" hidden="false" customHeight="false" outlineLevel="0" collapsed="false">
      <c r="A33" s="16" t="s">
        <v>141</v>
      </c>
      <c r="B33" s="16" t="n">
        <f aca="false">COUNTIF(Problems!$C:$C,A33)</f>
        <v>14</v>
      </c>
      <c r="C33" s="16" t="n">
        <f aca="false">COUNTIFS(Problems!$C:$C,A33,Problems!$G:$G,"Todo")</f>
        <v>14</v>
      </c>
      <c r="D33" s="16" t="n">
        <f aca="false">B33-C33</f>
        <v>0</v>
      </c>
      <c r="E33" s="16" t="n">
        <f aca="false">COUNTIFS(Problems!$C:$C,A33,Problems!$G:$G,"Mastered")</f>
        <v>0</v>
      </c>
      <c r="F33" s="26" t="n">
        <f aca="false">IF(B33=0,0,D33/B33)</f>
        <v>0</v>
      </c>
    </row>
    <row r="34" customFormat="false" ht="15" hidden="false" customHeight="false" outlineLevel="0" collapsed="false">
      <c r="A34" s="16" t="s">
        <v>143</v>
      </c>
      <c r="B34" s="16" t="n">
        <f aca="false">COUNTIF(Problems!$C:$C,A34)</f>
        <v>9</v>
      </c>
      <c r="C34" s="16" t="n">
        <f aca="false">COUNTIFS(Problems!$C:$C,A34,Problems!$G:$G,"Todo")</f>
        <v>9</v>
      </c>
      <c r="D34" s="16" t="n">
        <f aca="false">B34-C34</f>
        <v>0</v>
      </c>
      <c r="E34" s="16" t="n">
        <f aca="false">COUNTIFS(Problems!$C:$C,A34,Problems!$G:$G,"Mastered")</f>
        <v>0</v>
      </c>
      <c r="F34" s="26" t="n">
        <f aca="false">IF(B34=0,0,D34/B34)</f>
        <v>0</v>
      </c>
    </row>
    <row r="35" customFormat="false" ht="15" hidden="false" customHeight="false" outlineLevel="0" collapsed="false">
      <c r="A35" s="16" t="s">
        <v>145</v>
      </c>
      <c r="B35" s="16" t="n">
        <f aca="false">COUNTIF(Problems!$C:$C,A35)</f>
        <v>14</v>
      </c>
      <c r="C35" s="16" t="n">
        <f aca="false">COUNTIFS(Problems!$C:$C,A35,Problems!$G:$G,"Todo")</f>
        <v>14</v>
      </c>
      <c r="D35" s="16" t="n">
        <f aca="false">B35-C35</f>
        <v>0</v>
      </c>
      <c r="E35" s="16" t="n">
        <f aca="false">COUNTIFS(Problems!$C:$C,A35,Problems!$G:$G,"Mastered")</f>
        <v>0</v>
      </c>
      <c r="F35" s="26" t="n">
        <f aca="false">IF(B35=0,0,D35/B35)</f>
        <v>0</v>
      </c>
    </row>
    <row r="36" customFormat="false" ht="15" hidden="false" customHeight="false" outlineLevel="0" collapsed="false">
      <c r="A36" s="16" t="s">
        <v>147</v>
      </c>
      <c r="B36" s="16" t="n">
        <f aca="false">COUNTIF(Problems!$C:$C,A36)</f>
        <v>9</v>
      </c>
      <c r="C36" s="16" t="n">
        <f aca="false">COUNTIFS(Problems!$C:$C,A36,Problems!$G:$G,"Todo")</f>
        <v>9</v>
      </c>
      <c r="D36" s="16" t="n">
        <f aca="false">B36-C36</f>
        <v>0</v>
      </c>
      <c r="E36" s="16" t="n">
        <f aca="false">COUNTIFS(Problems!$C:$C,A36,Problems!$G:$G,"Mastered")</f>
        <v>0</v>
      </c>
      <c r="F36" s="26" t="n">
        <f aca="false">IF(B36=0,0,D36/B36)</f>
        <v>0</v>
      </c>
    </row>
    <row r="37" customFormat="false" ht="15" hidden="false" customHeight="false" outlineLevel="0" collapsed="false">
      <c r="A37" s="16" t="s">
        <v>149</v>
      </c>
      <c r="B37" s="16" t="n">
        <f aca="false">COUNTIF(Problems!$C:$C,A37)</f>
        <v>12</v>
      </c>
      <c r="C37" s="16" t="n">
        <f aca="false">COUNTIFS(Problems!$C:$C,A37,Problems!$G:$G,"Todo")</f>
        <v>12</v>
      </c>
      <c r="D37" s="16" t="n">
        <f aca="false">B37-C37</f>
        <v>0</v>
      </c>
      <c r="E37" s="16" t="n">
        <f aca="false">COUNTIFS(Problems!$C:$C,A37,Problems!$G:$G,"Mastered")</f>
        <v>0</v>
      </c>
      <c r="F37" s="26" t="n">
        <f aca="false">IF(B37=0,0,D37/B37)</f>
        <v>0</v>
      </c>
    </row>
    <row r="38" customFormat="false" ht="15" hidden="false" customHeight="false" outlineLevel="0" collapsed="false">
      <c r="A38" s="16" t="s">
        <v>151</v>
      </c>
      <c r="B38" s="16" t="n">
        <f aca="false">COUNTIF(Problems!$C:$C,A38)</f>
        <v>10</v>
      </c>
      <c r="C38" s="16" t="n">
        <f aca="false">COUNTIFS(Problems!$C:$C,A38,Problems!$G:$G,"Todo")</f>
        <v>10</v>
      </c>
      <c r="D38" s="16" t="n">
        <f aca="false">B38-C38</f>
        <v>0</v>
      </c>
      <c r="E38" s="16" t="n">
        <f aca="false">COUNTIFS(Problems!$C:$C,A38,Problems!$G:$G,"Mastered")</f>
        <v>0</v>
      </c>
      <c r="F38" s="26" t="n">
        <f aca="false">IF(B38=0,0,D38/B38)</f>
        <v>0</v>
      </c>
    </row>
    <row r="39" customFormat="false" ht="15" hidden="false" customHeight="false" outlineLevel="0" collapsed="false">
      <c r="A39" s="16" t="s">
        <v>155</v>
      </c>
      <c r="B39" s="16" t="n">
        <f aca="false">COUNTIF(Problems!$C:$C,A39)</f>
        <v>8</v>
      </c>
      <c r="C39" s="16" t="n">
        <f aca="false">COUNTIFS(Problems!$C:$C,A39,Problems!$G:$G,"Todo")</f>
        <v>8</v>
      </c>
      <c r="D39" s="16" t="n">
        <f aca="false">B39-C39</f>
        <v>0</v>
      </c>
      <c r="E39" s="16" t="n">
        <f aca="false">COUNTIFS(Problems!$C:$C,A39,Problems!$G:$G,"Mastered")</f>
        <v>0</v>
      </c>
      <c r="F39" s="26" t="n">
        <f aca="false">IF(B39=0,0,D39/B39)</f>
        <v>0</v>
      </c>
    </row>
    <row r="40" customFormat="false" ht="15" hidden="false" customHeight="false" outlineLevel="0" collapsed="false">
      <c r="A40" s="16" t="s">
        <v>157</v>
      </c>
      <c r="B40" s="16" t="n">
        <f aca="false">COUNTIF(Problems!$C:$C,A40)</f>
        <v>11</v>
      </c>
      <c r="C40" s="16" t="n">
        <f aca="false">COUNTIFS(Problems!$C:$C,A40,Problems!$G:$G,"Todo")</f>
        <v>11</v>
      </c>
      <c r="D40" s="16" t="n">
        <f aca="false">B40-C40</f>
        <v>0</v>
      </c>
      <c r="E40" s="16" t="n">
        <f aca="false">COUNTIFS(Problems!$C:$C,A40,Problems!$G:$G,"Mastered")</f>
        <v>0</v>
      </c>
      <c r="F40" s="26" t="n">
        <f aca="false">IF(B40=0,0,D40/B40)</f>
        <v>0</v>
      </c>
    </row>
    <row r="41" customFormat="false" ht="15" hidden="false" customHeight="false" outlineLevel="0" collapsed="false">
      <c r="A41" s="16" t="s">
        <v>159</v>
      </c>
      <c r="B41" s="16" t="n">
        <f aca="false">COUNTIF(Problems!$C:$C,A41)</f>
        <v>11</v>
      </c>
      <c r="C41" s="16" t="n">
        <f aca="false">COUNTIFS(Problems!$C:$C,A41,Problems!$G:$G,"Todo")</f>
        <v>11</v>
      </c>
      <c r="D41" s="16" t="n">
        <f aca="false">B41-C41</f>
        <v>0</v>
      </c>
      <c r="E41" s="16" t="n">
        <f aca="false">COUNTIFS(Problems!$C:$C,A41,Problems!$G:$G,"Mastered")</f>
        <v>0</v>
      </c>
      <c r="F41" s="26" t="n">
        <f aca="false">IF(B41=0,0,D41/B41)</f>
        <v>0</v>
      </c>
    </row>
    <row r="42" customFormat="false" ht="15" hidden="false" customHeight="false" outlineLevel="0" collapsed="false">
      <c r="A42" s="16" t="s">
        <v>161</v>
      </c>
      <c r="B42" s="16" t="n">
        <f aca="false">COUNTIF(Problems!$C:$C,A42)</f>
        <v>10</v>
      </c>
      <c r="C42" s="16" t="n">
        <f aca="false">COUNTIFS(Problems!$C:$C,A42,Problems!$G:$G,"Todo")</f>
        <v>10</v>
      </c>
      <c r="D42" s="16" t="n">
        <f aca="false">B42-C42</f>
        <v>0</v>
      </c>
      <c r="E42" s="16" t="n">
        <f aca="false">COUNTIFS(Problems!$C:$C,A42,Problems!$G:$G,"Mastered")</f>
        <v>0</v>
      </c>
      <c r="F42" s="26" t="n">
        <f aca="false">IF(B42=0,0,D42/B42)</f>
        <v>0</v>
      </c>
    </row>
    <row r="43" customFormat="false" ht="15" hidden="false" customHeight="false" outlineLevel="0" collapsed="false">
      <c r="A43" s="16" t="s">
        <v>162</v>
      </c>
      <c r="B43" s="16" t="n">
        <f aca="false">COUNTIF(Problems!$C:$C,A43)</f>
        <v>5</v>
      </c>
      <c r="C43" s="16" t="n">
        <f aca="false">COUNTIFS(Problems!$C:$C,A43,Problems!$G:$G,"Todo")</f>
        <v>5</v>
      </c>
      <c r="D43" s="16" t="n">
        <f aca="false">B43-C43</f>
        <v>0</v>
      </c>
      <c r="E43" s="16" t="n">
        <f aca="false">COUNTIFS(Problems!$C:$C,A43,Problems!$G:$G,"Mastered")</f>
        <v>0</v>
      </c>
      <c r="F43" s="26" t="n">
        <f aca="false">IF(B43=0,0,D43/B43)</f>
        <v>0</v>
      </c>
    </row>
  </sheetData>
  <conditionalFormatting sqref="F9:F43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{133835C7-E09B-4DF0-9A1B-8A7D9671AE95}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33835C7-E09B-4DF0-9A1B-8A7D9671AE9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F9:F43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2026-10-15T17:21:31Z</dcterms:created>
  <dc:creator>openpyxl</dc:creator>
  <dc:description/>
  <dc:language>en-US</dc:language>
  <cp:lastModifiedBy/>
  <dcterms:modified xsi:type="dcterms:W3CDTF">2026-10-15T17:21:32Z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