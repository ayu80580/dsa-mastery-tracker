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oadmap" sheetId="2" state="visible" r:id="rId4"/>
    <sheet name="Problems" sheetId="3" state="visible" r:id="rId5"/>
    <sheet name="ContestLog" sheetId="4" state="visible" r:id="rId6"/>
    <sheet name="Dashboard" sheetId="5" state="visible" r:id="rId7"/>
  </sheets>
  <definedNames>
    <definedName function="false" hidden="true" localSheetId="2" name="_xlnm._FilterDatabase" vbProcedure="false">Problems!$A$1:$L$201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<sst xmlns="http://schemas.openxmlformats.org/spreadsheetml/2006/main" count="1204" uniqueCount="360">
  <si>
    <t xml:space="preserve">Intermediate Tracker: 16-week LeetCode plan (200 problems)</t>
  </si>
  <si>
    <t xml:space="preserve">Inputs (yellow cells are yours to edit)</t>
  </si>
  <si>
    <t xml:space="preserve">Plan start date (a Monday)</t>
  </si>
  <si>
    <t xml:space="preserve">Assumption: Week 0 starts here; Week 1 starts 7 days later. Change it and the Roadmap dates update.</t>
  </si>
  <si>
    <t xml:space="preserve">ABOUT THIS TRACK</t>
  </si>
  <si>
    <t xml:space="preserve">What it covers</t>
  </si>
  <si>
    <t xml:space="preserve">200 Medium-heavy problems that sit between the core tracker and the hard material: the problems that separate 'knows the pattern' from 'applies it to a new shape'.</t>
  </si>
  <si>
    <t xml:space="preserve">How to combine it</t>
  </si>
  <si>
    <t xml:space="preserve">Run it after about Week 12 of the main tracker, or in parallel with it at 1 intermediate week per 1.5 main weeks. Finish the main tracker's graphs and DP before Weeks 10-12 here.</t>
  </si>
  <si>
    <t xml:space="preserve">No overlap</t>
  </si>
  <si>
    <t xml:space="preserve">Problems here do not repeat the main DSA_Mastery_Tracker, nor the other two tracks (intermediate, advanced, dp_patterns).</t>
  </si>
  <si>
    <t xml:space="preserve">HOW THE SHEETS FIT TOGETHER</t>
  </si>
  <si>
    <t xml:space="preserve">Roadmap</t>
  </si>
  <si>
    <t xml:space="preserve">Week-by-week plan: topic, patterns to own, problem count, and mock/contest checkpoints.</t>
  </si>
  <si>
    <t xml:space="preserve">Problems</t>
  </si>
  <si>
    <t xml:space="preserve">200 LeetCode problems in a fixed order, each linked. Click the title to open it. Fill Status, Date Solved, Time, and Revisions Done.</t>
  </si>
  <si>
    <t xml:space="preserve">ContestLog</t>
  </si>
  <si>
    <t xml:space="preserve">Log every contest/mock: times, rank, mistakes, lessons. Delete the grey example row when you add your own.</t>
  </si>
  <si>
    <t xml:space="preserve">Dashboard</t>
  </si>
  <si>
    <t xml:space="preserve">Auto-updating progress by topic and a count of revisions due today.</t>
  </si>
  <si>
    <t xml:space="preserve">STATUS MEANINGS (Problems sheet)</t>
  </si>
  <si>
    <t xml:space="preserve">Todo</t>
  </si>
  <si>
    <t xml:space="preserve">Not attempted yet.</t>
  </si>
  <si>
    <t xml:space="preserve">Hint-solved</t>
  </si>
  <si>
    <t xml:space="preserve">Needed a hint or the editorial. Counts as NOT yet learned. Re-solve from a blank editor next day.</t>
  </si>
  <si>
    <t xml:space="preserve">Solved</t>
  </si>
  <si>
    <t xml:space="preserve">Solved yourself within the time limit below.</t>
  </si>
  <si>
    <t xml:space="preserve">Mastered</t>
  </si>
  <si>
    <t xml:space="preserve">Re-solved cleanly at least 3 times across revisions (Revisions Done &gt;= 3) within the time limit.</t>
  </si>
  <si>
    <t xml:space="preserve">THE LOOP FOR EVERY PROBLEM</t>
  </si>
  <si>
    <t xml:space="preserve">1. Think (time-boxed)</t>
  </si>
  <si>
    <t xml:space="preserve">Easy 15 min, Medium 25-30 min, Hard 40 min. Write the brute force first, then optimise. Say the approach out loud or in a comment before coding.</t>
  </si>
  <si>
    <t xml:space="preserve">2. Hint ladder</t>
  </si>
  <si>
    <t xml:space="preserve">Stuck at the limit: read only the topic tag/first hint, try 10 more min, then the editorial. Mark Hint-solved.</t>
  </si>
  <si>
    <t xml:space="preserve">3. Close the editorial and re-solve</t>
  </si>
  <si>
    <t xml:space="preserve">Re-write the solution from a blank editor the same day. If you cannot, you did not learn it yet.</t>
  </si>
  <si>
    <t xml:space="preserve">4. Write the pattern, not the code</t>
  </si>
  <si>
    <t xml:space="preserve">Fill the Pattern column in one sentence: 'what signal told me which technique' + 'the invariant'. Memorise the invariant, not lines of code.</t>
  </si>
  <si>
    <t xml:space="preserve">5. Spaced revision</t>
  </si>
  <si>
    <t xml:space="preserve">Next Revision Due = Date Solved + 1, 3, 7, 21, 60 days. After each timed re-solve from scratch, add 1 to Revisions Done. Failed? Set Revisions Done back to 0 and re-solve tomorrow.</t>
  </si>
  <si>
    <t xml:space="preserve">Revision time limits</t>
  </si>
  <si>
    <t xml:space="preserve">Easy 10 min, Medium 20 min, Hard 35 min. Beyond that, count it as a fail.</t>
  </si>
  <si>
    <t xml:space="preserve">WEEKLY RHYTHM (adapt around M.Tech)</t>
  </si>
  <si>
    <t xml:space="preserve">Mon-Fri (2-3 h)</t>
  </si>
  <si>
    <t xml:space="preserve">30 min revision queue (filter Problems by Next Revision Due &lt;= today) + 60-90 min new problems + 15 min pattern notes.</t>
  </si>
  <si>
    <t xml:space="preserve">Minimum viable day (45 min)</t>
  </si>
  <si>
    <t xml:space="preserve">1 revision + 1 new problem. Never zero. Exam/assignment weeks: do only this, and do not skip revisions.</t>
  </si>
  <si>
    <t xml:space="preserve">Saturday</t>
  </si>
  <si>
    <t xml:space="preserve">Biweekly contest (every other week, about 8:00 PM IST) or a virtual contest, then upsolve. Check leetcode.com/contest for exact timings, they can change.</t>
  </si>
  <si>
    <t xml:space="preserve">Sunday</t>
  </si>
  <si>
    <t xml:space="preserve">Weekly contest (about 8:00 AM IST), upsolve the unsolved problems within 24 h, then a 30 min weekly review: log mistakes and plan next week.</t>
  </si>
  <si>
    <t xml:space="preserve">Checkpoints</t>
  </si>
  <si>
    <t xml:space="preserve">MOCK OA on the weeks highlighted in Roadmap: 90 min, 3 unseen problems, no hints. Log results in ContestLog.</t>
  </si>
  <si>
    <t xml:space="preserve">WEEK 0 DIAGNOSTIC (do this first)</t>
  </si>
  <si>
    <t xml:space="preserve">Step 1</t>
  </si>
  <si>
    <t xml:space="preserve">Pick 4 problems you have already solved from the topics of Week 1-2 of this track and re-solve them from a blank editor under the revision time limits.</t>
  </si>
  <si>
    <t xml:space="preserve">Step 2</t>
  </si>
  <si>
    <t xml:space="preserve">Mark anything you can already do cold as Solved (add a date). Anything you could not redo goes to Hint-solved.</t>
  </si>
  <si>
    <t xml:space="preserve">PRIORITY COLUMN</t>
  </si>
  <si>
    <t xml:space="preserve">P1</t>
  </si>
  <si>
    <t xml:space="preserve">Core problems of each week (first ~40%). If a week runs short on time, do P1 first.</t>
  </si>
  <si>
    <t xml:space="preserve">P2</t>
  </si>
  <si>
    <t xml:space="preserve">Extra practice and variations. Do them if time allows or if the topic is a weak spot.</t>
  </si>
  <si>
    <t xml:space="preserve">NOTES</t>
  </si>
  <si>
    <t xml:space="preserve">Links</t>
  </si>
  <si>
    <t xml:space="preserve">Links are built from LeetCode problem URLs (leetcode.com/problems/&lt;name&gt;/). If a link ever fails, search the title. Premium-only problems were left out on purpose.</t>
  </si>
  <si>
    <t xml:space="preserve">Week</t>
  </si>
  <si>
    <t xml:space="preserve">Starts</t>
  </si>
  <si>
    <t xml:space="preserve">Phase</t>
  </si>
  <si>
    <t xml:space="preserve">Focus topic</t>
  </si>
  <si>
    <t xml:space="preserve">Patterns to own</t>
  </si>
  <si>
    <t xml:space="preserve">New problems</t>
  </si>
  <si>
    <t xml:space="preserve">P1 problems</t>
  </si>
  <si>
    <t xml:space="preserve">Checkpoint / contest goal</t>
  </si>
  <si>
    <t xml:space="preserve">Phase 0: Diagnostic</t>
  </si>
  <si>
    <t xml:space="preserve">Diagnostic &amp; Setup</t>
  </si>
  <si>
    <t xml:space="preserve">re-solve 4 known problems timed; set up pattern notes</t>
  </si>
  <si>
    <t xml:space="preserve">Diagnostic: re-solve 4 known problems</t>
  </si>
  <si>
    <t xml:space="preserve">Phase 1: Arrays, Hashing, Windows, Stacks, Search</t>
  </si>
  <si>
    <t xml:space="preserve">Arrays &amp; Strings (Medium)</t>
  </si>
  <si>
    <t xml:space="preserve">in-place edits, sorting tricks, index math</t>
  </si>
  <si>
    <t xml:space="preserve">Weekly contest live + upsolve</t>
  </si>
  <si>
    <t xml:space="preserve">Hashing &amp; Prefix Counting</t>
  </si>
  <si>
    <t xml:space="preserve">hash map as memory, prefix sum + remainder, grouping by key</t>
  </si>
  <si>
    <t xml:space="preserve">Two Pointers &amp; Sliding Window</t>
  </si>
  <si>
    <t xml:space="preserve">window validity condition, shrink/expand, counting windows</t>
  </si>
  <si>
    <t xml:space="preserve">Stack, Queue &amp; Monotonic</t>
  </si>
  <si>
    <t xml:space="preserve">monotonic stack, parenthesis balance, stack simulation</t>
  </si>
  <si>
    <t xml:space="preserve">Binary Search Applications</t>
  </si>
  <si>
    <t xml:space="preserve">search on answer, feasibility check, monotonic predicate</t>
  </si>
  <si>
    <t xml:space="preserve">MOCK OA #1 (90 min, 3 unseen Mediums from Weeks 1-5)</t>
  </si>
  <si>
    <t xml:space="preserve">Phase 2: Structures &amp; Graphs</t>
  </si>
  <si>
    <t xml:space="preserve">Linked List (Medium)</t>
  </si>
  <si>
    <t xml:space="preserve">dummy nodes, two pointers, in-place splicing</t>
  </si>
  <si>
    <t xml:space="preserve">Trees &amp; BST (Medium)</t>
  </si>
  <si>
    <t xml:space="preserve">construction from traversals, BST ops, level-order variants</t>
  </si>
  <si>
    <t xml:space="preserve">Heap &amp; Greedy (Medium)</t>
  </si>
  <si>
    <t xml:space="preserve">heap as scheduler, sort + greedy choice, exchange argument</t>
  </si>
  <si>
    <t xml:space="preserve">Backtracking &amp; Recursion</t>
  </si>
  <si>
    <t xml:space="preserve">state, choices, pruning, dedupe</t>
  </si>
  <si>
    <t xml:space="preserve">Graph BFS/DFS (Medium)</t>
  </si>
  <si>
    <t xml:space="preserve">visited sets, grid traversal, BFS layers</t>
  </si>
  <si>
    <t xml:space="preserve">Graph: Union-Find, Topo, Shortest Path</t>
  </si>
  <si>
    <t xml:space="preserve">DSU, in-degree, Dijkstra variants</t>
  </si>
  <si>
    <t xml:space="preserve">MOCK OA #2 (90 min, 3 Qs from Weeks 6-11)</t>
  </si>
  <si>
    <t xml:space="preserve">Phase 3: DP, Strings, Math &amp; Mixed</t>
  </si>
  <si>
    <t xml:space="preserve">DP (Medium Warm-up)</t>
  </si>
  <si>
    <t xml:space="preserve">state definition, memo to tabulation, counting ways</t>
  </si>
  <si>
    <t xml:space="preserve">Intervals, Sorting &amp; Matrix</t>
  </si>
  <si>
    <t xml:space="preserve">sort by start/end, sweep, matrix simulation</t>
  </si>
  <si>
    <t xml:space="preserve">Strings, Tries &amp; Design</t>
  </si>
  <si>
    <t xml:space="preserve">trie nodes, API design, randomisation</t>
  </si>
  <si>
    <t xml:space="preserve">Bit Manipulation, Math &amp; Simulation</t>
  </si>
  <si>
    <t xml:space="preserve">bit tricks, modular arithmetic, careful simulation</t>
  </si>
  <si>
    <t xml:space="preserve">Mixed Medium Mock Sets</t>
  </si>
  <si>
    <t xml:space="preserve">pattern recognition without topic labels</t>
  </si>
  <si>
    <t xml:space="preserve">MOCK OA #3 + MOCK INTERVIEW (45 min, 2 Qs, speak aloud)</t>
  </si>
  <si>
    <t xml:space="preserve">Total</t>
  </si>
  <si>
    <t xml:space="preserve">#</t>
  </si>
  <si>
    <t xml:space="preserve">Topic</t>
  </si>
  <si>
    <t xml:space="preserve">Problem (click to open)</t>
  </si>
  <si>
    <t xml:space="preserve">Difficulty</t>
  </si>
  <si>
    <t xml:space="preserve">Priority</t>
  </si>
  <si>
    <t xml:space="preserve">Status</t>
  </si>
  <si>
    <t xml:space="preserve">Date Solved</t>
  </si>
  <si>
    <t xml:space="preserve">Time (min)</t>
  </si>
  <si>
    <t xml:space="preserve">Revisions Done (0-5)</t>
  </si>
  <si>
    <t xml:space="preserve">Next Revision Due</t>
  </si>
  <si>
    <t xml:space="preserve">Pattern / key idea (your words)</t>
  </si>
  <si>
    <t xml:space="preserve">Find All Duplicates in an Array</t>
  </si>
  <si>
    <t xml:space="preserve">Medium</t>
  </si>
  <si>
    <t xml:space="preserve">Subarray Product Less Than K</t>
  </si>
  <si>
    <t xml:space="preserve">Remove Duplicates from Sorted Array II</t>
  </si>
  <si>
    <t xml:space="preserve">H Index</t>
  </si>
  <si>
    <t xml:space="preserve">Diagonal Traverse</t>
  </si>
  <si>
    <t xml:space="preserve">Spiral Matrix II</t>
  </si>
  <si>
    <t xml:space="preserve">Search a 2D Matrix II</t>
  </si>
  <si>
    <t xml:space="preserve">Shortest Unsorted Continuous Subarray</t>
  </si>
  <si>
    <t xml:space="preserve">Sort Characters by Frequency</t>
  </si>
  <si>
    <t xml:space="preserve">Corporate Flight Bookings</t>
  </si>
  <si>
    <t xml:space="preserve">Longest Mountain in Array</t>
  </si>
  <si>
    <t xml:space="preserve">Valid Triangle Number</t>
  </si>
  <si>
    <t xml:space="preserve">Array Nesting</t>
  </si>
  <si>
    <t xml:space="preserve">4sum II</t>
  </si>
  <si>
    <t xml:space="preserve">Brick Wall</t>
  </si>
  <si>
    <t xml:space="preserve">Subarray Sums Divisible by K</t>
  </si>
  <si>
    <t xml:space="preserve">Binary Subarrays with Sum</t>
  </si>
  <si>
    <t xml:space="preserve">Make Sum Divisible by P</t>
  </si>
  <si>
    <t xml:space="preserve">Check If Array Pairs Are Divisible by K</t>
  </si>
  <si>
    <t xml:space="preserve">Random Pick with Weight</t>
  </si>
  <si>
    <t xml:space="preserve">Custom Sort String</t>
  </si>
  <si>
    <t xml:space="preserve">Find Duplicate File in System</t>
  </si>
  <si>
    <t xml:space="preserve">Minimum Number of Steps to Make Two Strings Anagram</t>
  </si>
  <si>
    <t xml:space="preserve">Find and Replace Pattern</t>
  </si>
  <si>
    <t xml:space="preserve">Longest Harmonious Subsequence</t>
  </si>
  <si>
    <t xml:space="preserve">Easy</t>
  </si>
  <si>
    <t xml:space="preserve">Isomorphic Strings</t>
  </si>
  <si>
    <t xml:space="preserve">Get Equal Substrings Within Budget</t>
  </si>
  <si>
    <t xml:space="preserve">Replace the Substring for Balanced String</t>
  </si>
  <si>
    <t xml:space="preserve">Grumpy Bookstore Owner</t>
  </si>
  <si>
    <t xml:space="preserve">Longest Nice Subarray</t>
  </si>
  <si>
    <t xml:space="preserve">Maximum Erasure Value</t>
  </si>
  <si>
    <t xml:space="preserve">Frequency of the Most Frequent Element</t>
  </si>
  <si>
    <t xml:space="preserve">Longest Turbulent Subarray</t>
  </si>
  <si>
    <t xml:space="preserve">Find K Closest Elements</t>
  </si>
  <si>
    <t xml:space="preserve">Push Dominoes</t>
  </si>
  <si>
    <t xml:space="preserve">3sum with Multiplicity</t>
  </si>
  <si>
    <t xml:space="preserve">Number of Subarrays with Bounded Maximum</t>
  </si>
  <si>
    <t xml:space="preserve">Valid Palindrome II</t>
  </si>
  <si>
    <t xml:space="preserve">Next Greater Element II</t>
  </si>
  <si>
    <t xml:space="preserve">132 Pattern</t>
  </si>
  <si>
    <t xml:space="preserve">Remove Duplicate Letters</t>
  </si>
  <si>
    <t xml:space="preserve">Simplify Path</t>
  </si>
  <si>
    <t xml:space="preserve">Score of Parentheses</t>
  </si>
  <si>
    <t xml:space="preserve">Minimum Remove to Make Valid Parentheses</t>
  </si>
  <si>
    <t xml:space="preserve">Validate Stack Sequences</t>
  </si>
  <si>
    <t xml:space="preserve">Maximum Width Ramp</t>
  </si>
  <si>
    <t xml:space="preserve">Remove All Adjacent Duplicates in String II</t>
  </si>
  <si>
    <t xml:space="preserve">Exclusive Time of Functions</t>
  </si>
  <si>
    <t xml:space="preserve">Sum of Subarray Ranges</t>
  </si>
  <si>
    <t xml:space="preserve">Design Circular Deque</t>
  </si>
  <si>
    <t xml:space="preserve">Minimum Add to Make Parentheses Valid</t>
  </si>
  <si>
    <t xml:space="preserve">Find the Smallest Divisor Given a Threshold</t>
  </si>
  <si>
    <t xml:space="preserve">Minimum Time to Complete Trips</t>
  </si>
  <si>
    <t xml:space="preserve">Maximum Candies Allocated to K Children</t>
  </si>
  <si>
    <t xml:space="preserve">Heaters</t>
  </si>
  <si>
    <t xml:space="preserve">Successful Pairs of Spells and Potions</t>
  </si>
  <si>
    <t xml:space="preserve">Peak Index in a Mountain Array</t>
  </si>
  <si>
    <t xml:space="preserve">Find Right Interval</t>
  </si>
  <si>
    <t xml:space="preserve">H Index II</t>
  </si>
  <si>
    <t xml:space="preserve">Minimum Speed to Arrive on Time</t>
  </si>
  <si>
    <t xml:space="preserve">Minimized Maximum of Products Distributed to Any Store</t>
  </si>
  <si>
    <t xml:space="preserve">Maximum Value at a Given Index in a Bounded Array</t>
  </si>
  <si>
    <t xml:space="preserve">Minimum Limit of Balls in a Bag</t>
  </si>
  <si>
    <t xml:space="preserve">Delete the Middle Node of a Linked List</t>
  </si>
  <si>
    <t xml:space="preserve">Maximum Twin Sum of a Linked List</t>
  </si>
  <si>
    <t xml:space="preserve">Split Linked List in Parts</t>
  </si>
  <si>
    <t xml:space="preserve">Next Greater Node in Linked List</t>
  </si>
  <si>
    <t xml:space="preserve">Add Two Numbers II</t>
  </si>
  <si>
    <t xml:space="preserve">Convert Sorted List to Binary Search Tree</t>
  </si>
  <si>
    <t xml:space="preserve">Insertion Sort List</t>
  </si>
  <si>
    <t xml:space="preserve">Flatten a Multilevel Doubly Linked List</t>
  </si>
  <si>
    <t xml:space="preserve">Design Linked List</t>
  </si>
  <si>
    <t xml:space="preserve">Merge in Between Linked Lists</t>
  </si>
  <si>
    <t xml:space="preserve">Remove Zero Sum Consecutive Nodes from Linked List</t>
  </si>
  <si>
    <t xml:space="preserve">Swapping Nodes in a Linked List</t>
  </si>
  <si>
    <t xml:space="preserve">Construct Binary Tree from Inorder and Postorder Traversal</t>
  </si>
  <si>
    <t xml:space="preserve">Construct Binary Search Tree from Preorder Traversal</t>
  </si>
  <si>
    <t xml:space="preserve">Trim a Binary Search Tree</t>
  </si>
  <si>
    <t xml:space="preserve">Insert Into a Binary Search Tree</t>
  </si>
  <si>
    <t xml:space="preserve">Convert Bst to Greater Tree</t>
  </si>
  <si>
    <t xml:space="preserve">Binary Tree Level Order Traversal II</t>
  </si>
  <si>
    <t xml:space="preserve">Find Largest Value in Each Tree Row</t>
  </si>
  <si>
    <t xml:space="preserve">Populating Next Right Pointers in Each Node II</t>
  </si>
  <si>
    <t xml:space="preserve">Longest Univalue Path</t>
  </si>
  <si>
    <t xml:space="preserve">Binary Tree Pruning</t>
  </si>
  <si>
    <t xml:space="preserve">Distribute Coins in Binary Tree</t>
  </si>
  <si>
    <t xml:space="preserve">Amount of Time for Binary Tree to Be Infected</t>
  </si>
  <si>
    <t xml:space="preserve">Step by Step Directions from a Binary Tree Node to Another</t>
  </si>
  <si>
    <t xml:space="preserve">Furthest Building You Can Reach</t>
  </si>
  <si>
    <t xml:space="preserve">Process Tasks Using Servers</t>
  </si>
  <si>
    <t xml:space="preserve">Single Threaded Cpu</t>
  </si>
  <si>
    <t xml:space="preserve">Maximum Subsequence Score</t>
  </si>
  <si>
    <t xml:space="preserve">Total Cost to Hire K Workers</t>
  </si>
  <si>
    <t xml:space="preserve">Remove Stones to Minimize the Total</t>
  </si>
  <si>
    <t xml:space="preserve">Longest Happy String</t>
  </si>
  <si>
    <t xml:space="preserve">Two City Scheduling</t>
  </si>
  <si>
    <t xml:space="preserve">Bag of Tokens</t>
  </si>
  <si>
    <t xml:space="preserve">Advantage Shuffle</t>
  </si>
  <si>
    <t xml:space="preserve">Minimum Increment to Make Array Unique</t>
  </si>
  <si>
    <t xml:space="preserve">Video Stitching</t>
  </si>
  <si>
    <t xml:space="preserve">Find Unique Binary String</t>
  </si>
  <si>
    <t xml:space="preserve">The K Th Lexicographical String of All Happy Strings of a Given Length</t>
  </si>
  <si>
    <t xml:space="preserve">Maximum Length of a Concatenated String with Unique Characters</t>
  </si>
  <si>
    <t xml:space="preserve">Fair Distribution of Cookies</t>
  </si>
  <si>
    <t xml:space="preserve">Increasing Subsequences</t>
  </si>
  <si>
    <t xml:space="preserve">Letter Tile Possibilities</t>
  </si>
  <si>
    <t xml:space="preserve">Numbers with Same Consecutive Differences</t>
  </si>
  <si>
    <t xml:space="preserve">Construct the Lexicographically Largest Valid Sequence</t>
  </si>
  <si>
    <t xml:space="preserve">Splitting a String Into Descending Consecutive Values</t>
  </si>
  <si>
    <t xml:space="preserve">Count Sorted Vowel Strings</t>
  </si>
  <si>
    <t xml:space="preserve">Find the Punishment Number of an Integer</t>
  </si>
  <si>
    <t xml:space="preserve">Permutation Sequence</t>
  </si>
  <si>
    <t xml:space="preserve">Hard</t>
  </si>
  <si>
    <t xml:space="preserve">N Queens II</t>
  </si>
  <si>
    <t xml:space="preserve">Keys and Rooms</t>
  </si>
  <si>
    <t xml:space="preserve">All Paths from Source to Target</t>
  </si>
  <si>
    <t xml:space="preserve">Number of Closed Islands</t>
  </si>
  <si>
    <t xml:space="preserve">Count Sub Islands</t>
  </si>
  <si>
    <t xml:space="preserve">Nearest Exit from Entrance in Maze</t>
  </si>
  <si>
    <t xml:space="preserve">Minimum Genetic Mutation</t>
  </si>
  <si>
    <t xml:space="preserve">Jump Game III</t>
  </si>
  <si>
    <t xml:space="preserve">Time Needed to Inform All Employees</t>
  </si>
  <si>
    <t xml:space="preserve">As Far from Land As Possible</t>
  </si>
  <si>
    <t xml:space="preserve">Reorder Routes to Make All Paths Lead to the City Zero</t>
  </si>
  <si>
    <t xml:space="preserve">Number of Operations to Make Network Connected</t>
  </si>
  <si>
    <t xml:space="preserve">Minimum Number of Vertices to Reach All Nodes</t>
  </si>
  <si>
    <t xml:space="preserve">Minimum Score of a Path Between Two Cities</t>
  </si>
  <si>
    <t xml:space="preserve">Regions Cut by Slashes</t>
  </si>
  <si>
    <t xml:space="preserve">Course Schedule IV</t>
  </si>
  <si>
    <t xml:space="preserve">Minimum Time to Collect All Apples in a Tree</t>
  </si>
  <si>
    <t xml:space="preserve">Count the Number of Complete Components</t>
  </si>
  <si>
    <t xml:space="preserve">Validate Binary Tree Nodes</t>
  </si>
  <si>
    <t xml:space="preserve">Maximal Network Rank</t>
  </si>
  <si>
    <t xml:space="preserve">Remove Max Number of Edges to Keep Graph Fully Traversable</t>
  </si>
  <si>
    <t xml:space="preserve">Largest Component Size by Common Factor</t>
  </si>
  <si>
    <t xml:space="preserve">Find All People with Secret</t>
  </si>
  <si>
    <t xml:space="preserve">Minimum Cost to Reach Destination in Time</t>
  </si>
  <si>
    <t xml:space="preserve">Largest Color Value in a Directed Graph</t>
  </si>
  <si>
    <t xml:space="preserve">Number of Dice Rolls with Target Sum</t>
  </si>
  <si>
    <t xml:space="preserve">Knight Dialer</t>
  </si>
  <si>
    <t xml:space="preserve">Solving Questions with Brainpower</t>
  </si>
  <si>
    <t xml:space="preserve">Count Ways to Build Good Strings</t>
  </si>
  <si>
    <t xml:space="preserve">2 Keys Keyboard</t>
  </si>
  <si>
    <t xml:space="preserve">Best Sightseeing Pair</t>
  </si>
  <si>
    <t xml:space="preserve">Ugly Number II</t>
  </si>
  <si>
    <t xml:space="preserve">Maximum Subarray Sum with One Deletion</t>
  </si>
  <si>
    <t xml:space="preserve">New 21 Game</t>
  </si>
  <si>
    <t xml:space="preserve">Longest Ideal Subsequence</t>
  </si>
  <si>
    <t xml:space="preserve">Maximum Length of Subarray with Positive Product</t>
  </si>
  <si>
    <t xml:space="preserve">Minimum Cost Tree from Leaf Values</t>
  </si>
  <si>
    <t xml:space="preserve">Count Number of Ways to Place Houses</t>
  </si>
  <si>
    <t xml:space="preserve">Interval List Intersections</t>
  </si>
  <si>
    <t xml:space="preserve">Remove Covered Intervals</t>
  </si>
  <si>
    <t xml:space="preserve">Largest Number</t>
  </si>
  <si>
    <t xml:space="preserve">Wiggle Sort II</t>
  </si>
  <si>
    <t xml:space="preserve">Divide Intervals Into Minimum Number of Groups</t>
  </si>
  <si>
    <t xml:space="preserve">Count Days Without Meetings</t>
  </si>
  <si>
    <t xml:space="preserve">Where Will the Ball Fall</t>
  </si>
  <si>
    <t xml:space="preserve">Minesweeper</t>
  </si>
  <si>
    <t xml:space="preserve">Find Valid Matrix Given Row and Column Sums</t>
  </si>
  <si>
    <t xml:space="preserve">Maximum Side Length of a Square with Sum Less Than or Equal to Threshold</t>
  </si>
  <si>
    <t xml:space="preserve">Pancake Sorting</t>
  </si>
  <si>
    <t xml:space="preserve">Number of Laser Beams in a Bank</t>
  </si>
  <si>
    <t xml:space="preserve">Implement Magic Dictionary</t>
  </si>
  <si>
    <t xml:space="preserve">Map Sum Pairs</t>
  </si>
  <si>
    <t xml:space="preserve">Longest Word in Dictionary</t>
  </si>
  <si>
    <t xml:space="preserve">Camelcase Matching</t>
  </si>
  <si>
    <t xml:space="preserve">Encode and Decode Tinyurl</t>
  </si>
  <si>
    <t xml:space="preserve">String Compression</t>
  </si>
  <si>
    <t xml:space="preserve">Number of Matching Subsequences</t>
  </si>
  <si>
    <t xml:space="preserve">Product of the Last K Numbers</t>
  </si>
  <si>
    <t xml:space="preserve">Shuffle an Array</t>
  </si>
  <si>
    <t xml:space="preserve">Linked List Random Node</t>
  </si>
  <si>
    <t xml:space="preserve">Exam Room</t>
  </si>
  <si>
    <t xml:space="preserve">Online Election</t>
  </si>
  <si>
    <t xml:space="preserve">Stream of Characters</t>
  </si>
  <si>
    <t xml:space="preserve">Bitwise and of Numbers Range</t>
  </si>
  <si>
    <t xml:space="preserve">Total Hamming Distance</t>
  </si>
  <si>
    <t xml:space="preserve">Minimum Flips to Make a or B Equal to C</t>
  </si>
  <si>
    <t xml:space="preserve">Fraction to Recurring Decimal</t>
  </si>
  <si>
    <t xml:space="preserve">Factorial Trailing Zeroes</t>
  </si>
  <si>
    <t xml:space="preserve">Nth Digit</t>
  </si>
  <si>
    <t xml:space="preserve">Rectangle Area</t>
  </si>
  <si>
    <t xml:space="preserve">Reverse Integer</t>
  </si>
  <si>
    <t xml:space="preserve">Bulb Switcher</t>
  </si>
  <si>
    <t xml:space="preserve">Water and Jug Problem</t>
  </si>
  <si>
    <t xml:space="preserve">Robot Bounded in Circle</t>
  </si>
  <si>
    <t xml:space="preserve">Walking Robot Simulation</t>
  </si>
  <si>
    <t xml:space="preserve">Rearrange Array Elements by Sign</t>
  </si>
  <si>
    <t xml:space="preserve">Shortest Subarray to Be Removed to Make Array Sorted</t>
  </si>
  <si>
    <t xml:space="preserve">Maximum Sum of Two Non Overlapping Subarrays</t>
  </si>
  <si>
    <t xml:space="preserve">Lexicographically Smallest Equivalent String</t>
  </si>
  <si>
    <t xml:space="preserve">Optimal Partition of String</t>
  </si>
  <si>
    <t xml:space="preserve">Partition Array Such That Maximum Difference Is K</t>
  </si>
  <si>
    <t xml:space="preserve">Sliding Subarray Beauty</t>
  </si>
  <si>
    <t xml:space="preserve">Kth Largest Sum in a Binary Tree</t>
  </si>
  <si>
    <t xml:space="preserve">Minimum Operations to Convert Number</t>
  </si>
  <si>
    <t xml:space="preserve">Determine If Two Strings Are Close</t>
  </si>
  <si>
    <t xml:space="preserve">Find Players with Zero or One Losses</t>
  </si>
  <si>
    <t xml:space="preserve">Sequential Digits</t>
  </si>
  <si>
    <t xml:space="preserve">Group the People Given the Group Size They Belong to</t>
  </si>
  <si>
    <t xml:space="preserve">Contest &amp; Mock Log</t>
  </si>
  <si>
    <t xml:space="preserve">Log every live contest, virtual contest, mock OA and mock interview. Times in minutes from start (leave blank if unsolved). Row 5 is an example, delete it.</t>
  </si>
  <si>
    <t xml:space="preserve">Date</t>
  </si>
  <si>
    <t xml:space="preserve">Type</t>
  </si>
  <si>
    <t xml:space="preserve">Contest / Mock name</t>
  </si>
  <si>
    <t xml:space="preserve">Q1 time (min)</t>
  </si>
  <si>
    <t xml:space="preserve">Q2 time (min)</t>
  </si>
  <si>
    <t xml:space="preserve">Q3 time (min)</t>
  </si>
  <si>
    <t xml:space="preserve">Q4 time (min)</t>
  </si>
  <si>
    <t xml:space="preserve">Qs solved</t>
  </si>
  <si>
    <t xml:space="preserve">Rank</t>
  </si>
  <si>
    <t xml:space="preserve">Rating after</t>
  </si>
  <si>
    <t xml:space="preserve">Upsolved all? (Y/N)</t>
  </si>
  <si>
    <t xml:space="preserve">Biggest mistake</t>
  </si>
  <si>
    <t xml:space="preserve">Topic to fix</t>
  </si>
  <si>
    <t xml:space="preserve">LC Weekly</t>
  </si>
  <si>
    <t xml:space="preserve">Weekly Contest (example)</t>
  </si>
  <si>
    <t xml:space="preserve">Y</t>
  </si>
  <si>
    <t xml:space="preserve">Missed edge case with empty input in Q2</t>
  </si>
  <si>
    <t xml:space="preserve">Sliding window II</t>
  </si>
  <si>
    <t xml:space="preserve">Progress Dashboard</t>
  </si>
  <si>
    <t xml:space="preserve">Total problems</t>
  </si>
  <si>
    <t xml:space="preserve">Updates automatically from the Problems sheet.</t>
  </si>
  <si>
    <t xml:space="preserve">Done (not Todo)</t>
  </si>
  <si>
    <t xml:space="preserve">Revisions due today or overdue</t>
  </si>
  <si>
    <t xml:space="preserve">% done overall</t>
  </si>
  <si>
    <t xml:space="preserve">Done</t>
  </si>
  <si>
    <t xml:space="preserve">% Done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</si>
</sst>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dd\-mmm\-yy"/>
    <numFmt numFmtId="167" formatCode="General"/>
    <numFmt numFmtId="168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E2EFDA"/>
      <rgbColor rgb="FFCCFF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ind-all-duplicates-in-an-array/" TargetMode="External"/><Relationship Id="rId2" Type="http://schemas.openxmlformats.org/officeDocument/2006/relationships/hyperlink" Target="https://leetcode.com/problems/subarray-product-less-than-k/" TargetMode="External"/><Relationship Id="rId3" Type="http://schemas.openxmlformats.org/officeDocument/2006/relationships/hyperlink" Target="https://leetcode.com/problems/remove-duplicates-from-sorted-array-ii/" TargetMode="External"/><Relationship Id="rId4" Type="http://schemas.openxmlformats.org/officeDocument/2006/relationships/hyperlink" Target="https://leetcode.com/problems/h-index/" TargetMode="External"/><Relationship Id="rId5" Type="http://schemas.openxmlformats.org/officeDocument/2006/relationships/hyperlink" Target="https://leetcode.com/problems/diagonal-traverse/" TargetMode="External"/><Relationship Id="rId6" Type="http://schemas.openxmlformats.org/officeDocument/2006/relationships/hyperlink" Target="https://leetcode.com/problems/spiral-matrix-ii/" TargetMode="External"/><Relationship Id="rId7" Type="http://schemas.openxmlformats.org/officeDocument/2006/relationships/hyperlink" Target="https://leetcode.com/problems/search-a-2d-matrix-ii/" TargetMode="External"/><Relationship Id="rId8" Type="http://schemas.openxmlformats.org/officeDocument/2006/relationships/hyperlink" Target="https://leetcode.com/problems/shortest-unsorted-continuous-subarray/" TargetMode="External"/><Relationship Id="rId9" Type="http://schemas.openxmlformats.org/officeDocument/2006/relationships/hyperlink" Target="https://leetcode.com/problems/sort-characters-by-frequency/" TargetMode="External"/><Relationship Id="rId10" Type="http://schemas.openxmlformats.org/officeDocument/2006/relationships/hyperlink" Target="https://leetcode.com/problems/corporate-flight-bookings/" TargetMode="External"/><Relationship Id="rId11" Type="http://schemas.openxmlformats.org/officeDocument/2006/relationships/hyperlink" Target="https://leetcode.com/problems/longest-mountain-in-array/" TargetMode="External"/><Relationship Id="rId12" Type="http://schemas.openxmlformats.org/officeDocument/2006/relationships/hyperlink" Target="https://leetcode.com/problems/valid-triangle-number/" TargetMode="External"/><Relationship Id="rId13" Type="http://schemas.openxmlformats.org/officeDocument/2006/relationships/hyperlink" Target="https://leetcode.com/problems/array-nesting/" TargetMode="External"/><Relationship Id="rId14" Type="http://schemas.openxmlformats.org/officeDocument/2006/relationships/hyperlink" Target="https://leetcode.com/problems/4sum-ii/" TargetMode="External"/><Relationship Id="rId15" Type="http://schemas.openxmlformats.org/officeDocument/2006/relationships/hyperlink" Target="https://leetcode.com/problems/brick-wall/" TargetMode="External"/><Relationship Id="rId16" Type="http://schemas.openxmlformats.org/officeDocument/2006/relationships/hyperlink" Target="https://leetcode.com/problems/subarray-sums-divisible-by-k/" TargetMode="External"/><Relationship Id="rId17" Type="http://schemas.openxmlformats.org/officeDocument/2006/relationships/hyperlink" Target="https://leetcode.com/problems/binary-subarrays-with-sum/" TargetMode="External"/><Relationship Id="rId18" Type="http://schemas.openxmlformats.org/officeDocument/2006/relationships/hyperlink" Target="https://leetcode.com/problems/make-sum-divisible-by-p/" TargetMode="External"/><Relationship Id="rId19" Type="http://schemas.openxmlformats.org/officeDocument/2006/relationships/hyperlink" Target="https://leetcode.com/problems/check-if-array-pairs-are-divisible-by-k/" TargetMode="External"/><Relationship Id="rId20" Type="http://schemas.openxmlformats.org/officeDocument/2006/relationships/hyperlink" Target="https://leetcode.com/problems/random-pick-with-weight/" TargetMode="External"/><Relationship Id="rId21" Type="http://schemas.openxmlformats.org/officeDocument/2006/relationships/hyperlink" Target="https://leetcode.com/problems/custom-sort-string/" TargetMode="External"/><Relationship Id="rId22" Type="http://schemas.openxmlformats.org/officeDocument/2006/relationships/hyperlink" Target="https://leetcode.com/problems/find-duplicate-file-in-system/" TargetMode="External"/><Relationship Id="rId23" Type="http://schemas.openxmlformats.org/officeDocument/2006/relationships/hyperlink" Target="https://leetcode.com/problems/minimum-number-of-steps-to-make-two-strings-anagram/" TargetMode="External"/><Relationship Id="rId24" Type="http://schemas.openxmlformats.org/officeDocument/2006/relationships/hyperlink" Target="https://leetcode.com/problems/find-and-replace-pattern/" TargetMode="External"/><Relationship Id="rId25" Type="http://schemas.openxmlformats.org/officeDocument/2006/relationships/hyperlink" Target="https://leetcode.com/problems/longest-harmonious-subsequence/" TargetMode="External"/><Relationship Id="rId26" Type="http://schemas.openxmlformats.org/officeDocument/2006/relationships/hyperlink" Target="https://leetcode.com/problems/isomorphic-strings/" TargetMode="External"/><Relationship Id="rId27" Type="http://schemas.openxmlformats.org/officeDocument/2006/relationships/hyperlink" Target="https://leetcode.com/problems/get-equal-substrings-within-budget/" TargetMode="External"/><Relationship Id="rId28" Type="http://schemas.openxmlformats.org/officeDocument/2006/relationships/hyperlink" Target="https://leetcode.com/problems/replace-the-substring-for-balanced-string/" TargetMode="External"/><Relationship Id="rId29" Type="http://schemas.openxmlformats.org/officeDocument/2006/relationships/hyperlink" Target="https://leetcode.com/problems/grumpy-bookstore-owner/" TargetMode="External"/><Relationship Id="rId30" Type="http://schemas.openxmlformats.org/officeDocument/2006/relationships/hyperlink" Target="https://leetcode.com/problems/longest-nice-subarray/" TargetMode="External"/><Relationship Id="rId31" Type="http://schemas.openxmlformats.org/officeDocument/2006/relationships/hyperlink" Target="https://leetcode.com/problems/maximum-erasure-value/" TargetMode="External"/><Relationship Id="rId32" Type="http://schemas.openxmlformats.org/officeDocument/2006/relationships/hyperlink" Target="https://leetcode.com/problems/frequency-of-the-most-frequent-element/" TargetMode="External"/><Relationship Id="rId33" Type="http://schemas.openxmlformats.org/officeDocument/2006/relationships/hyperlink" Target="https://leetcode.com/problems/longest-turbulent-subarray/" TargetMode="External"/><Relationship Id="rId34" Type="http://schemas.openxmlformats.org/officeDocument/2006/relationships/hyperlink" Target="https://leetcode.com/problems/find-k-closest-elements/" TargetMode="External"/><Relationship Id="rId35" Type="http://schemas.openxmlformats.org/officeDocument/2006/relationships/hyperlink" Target="https://leetcode.com/problems/push-dominoes/" TargetMode="External"/><Relationship Id="rId36" Type="http://schemas.openxmlformats.org/officeDocument/2006/relationships/hyperlink" Target="https://leetcode.com/problems/3sum-with-multiplicity/" TargetMode="External"/><Relationship Id="rId37" Type="http://schemas.openxmlformats.org/officeDocument/2006/relationships/hyperlink" Target="https://leetcode.com/problems/number-of-subarrays-with-bounded-maximum/" TargetMode="External"/><Relationship Id="rId38" Type="http://schemas.openxmlformats.org/officeDocument/2006/relationships/hyperlink" Target="https://leetcode.com/problems/valid-palindrome-ii/" TargetMode="External"/><Relationship Id="rId39" Type="http://schemas.openxmlformats.org/officeDocument/2006/relationships/hyperlink" Target="https://leetcode.com/problems/next-greater-element-ii/" TargetMode="External"/><Relationship Id="rId40" Type="http://schemas.openxmlformats.org/officeDocument/2006/relationships/hyperlink" Target="https://leetcode.com/problems/132-pattern/" TargetMode="External"/><Relationship Id="rId41" Type="http://schemas.openxmlformats.org/officeDocument/2006/relationships/hyperlink" Target="https://leetcode.com/problems/remove-duplicate-letters/" TargetMode="External"/><Relationship Id="rId42" Type="http://schemas.openxmlformats.org/officeDocument/2006/relationships/hyperlink" Target="https://leetcode.com/problems/simplify-path/" TargetMode="External"/><Relationship Id="rId43" Type="http://schemas.openxmlformats.org/officeDocument/2006/relationships/hyperlink" Target="https://leetcode.com/problems/score-of-parentheses/" TargetMode="External"/><Relationship Id="rId44" Type="http://schemas.openxmlformats.org/officeDocument/2006/relationships/hyperlink" Target="https://leetcode.com/problems/minimum-remove-to-make-valid-parentheses/" TargetMode="External"/><Relationship Id="rId45" Type="http://schemas.openxmlformats.org/officeDocument/2006/relationships/hyperlink" Target="https://leetcode.com/problems/validate-stack-sequences/" TargetMode="External"/><Relationship Id="rId46" Type="http://schemas.openxmlformats.org/officeDocument/2006/relationships/hyperlink" Target="https://leetcode.com/problems/maximum-width-ramp/" TargetMode="External"/><Relationship Id="rId47" Type="http://schemas.openxmlformats.org/officeDocument/2006/relationships/hyperlink" Target="https://leetcode.com/problems/remove-all-adjacent-duplicates-in-string-ii/" TargetMode="External"/><Relationship Id="rId48" Type="http://schemas.openxmlformats.org/officeDocument/2006/relationships/hyperlink" Target="https://leetcode.com/problems/exclusive-time-of-functions/" TargetMode="External"/><Relationship Id="rId49" Type="http://schemas.openxmlformats.org/officeDocument/2006/relationships/hyperlink" Target="https://leetcode.com/problems/sum-of-subarray-ranges/" TargetMode="External"/><Relationship Id="rId50" Type="http://schemas.openxmlformats.org/officeDocument/2006/relationships/hyperlink" Target="https://leetcode.com/problems/design-circular-deque/" TargetMode="External"/><Relationship Id="rId51" Type="http://schemas.openxmlformats.org/officeDocument/2006/relationships/hyperlink" Target="https://leetcode.com/problems/minimum-add-to-make-parentheses-valid/" TargetMode="External"/><Relationship Id="rId52" Type="http://schemas.openxmlformats.org/officeDocument/2006/relationships/hyperlink" Target="https://leetcode.com/problems/find-the-smallest-divisor-given-a-threshold/" TargetMode="External"/><Relationship Id="rId53" Type="http://schemas.openxmlformats.org/officeDocument/2006/relationships/hyperlink" Target="https://leetcode.com/problems/minimum-time-to-complete-trips/" TargetMode="External"/><Relationship Id="rId54" Type="http://schemas.openxmlformats.org/officeDocument/2006/relationships/hyperlink" Target="https://leetcode.com/problems/maximum-candies-allocated-to-k-children/" TargetMode="External"/><Relationship Id="rId55" Type="http://schemas.openxmlformats.org/officeDocument/2006/relationships/hyperlink" Target="https://leetcode.com/problems/heaters/" TargetMode="External"/><Relationship Id="rId56" Type="http://schemas.openxmlformats.org/officeDocument/2006/relationships/hyperlink" Target="https://leetcode.com/problems/successful-pairs-of-spells-and-potions/" TargetMode="External"/><Relationship Id="rId57" Type="http://schemas.openxmlformats.org/officeDocument/2006/relationships/hyperlink" Target="https://leetcode.com/problems/peak-index-in-a-mountain-array/" TargetMode="External"/><Relationship Id="rId58" Type="http://schemas.openxmlformats.org/officeDocument/2006/relationships/hyperlink" Target="https://leetcode.com/problems/find-right-interval/" TargetMode="External"/><Relationship Id="rId59" Type="http://schemas.openxmlformats.org/officeDocument/2006/relationships/hyperlink" Target="https://leetcode.com/problems/h-index-ii/" TargetMode="External"/><Relationship Id="rId60" Type="http://schemas.openxmlformats.org/officeDocument/2006/relationships/hyperlink" Target="https://leetcode.com/problems/minimum-speed-to-arrive-on-time/" TargetMode="External"/><Relationship Id="rId61" Type="http://schemas.openxmlformats.org/officeDocument/2006/relationships/hyperlink" Target="https://leetcode.com/problems/minimized-maximum-of-products-distributed-to-any-store/" TargetMode="External"/><Relationship Id="rId62" Type="http://schemas.openxmlformats.org/officeDocument/2006/relationships/hyperlink" Target="https://leetcode.com/problems/maximum-value-at-a-given-index-in-a-bounded-array/" TargetMode="External"/><Relationship Id="rId63" Type="http://schemas.openxmlformats.org/officeDocument/2006/relationships/hyperlink" Target="https://leetcode.com/problems/minimum-limit-of-balls-in-a-bag/" TargetMode="External"/><Relationship Id="rId64" Type="http://schemas.openxmlformats.org/officeDocument/2006/relationships/hyperlink" Target="https://leetcode.com/problems/delete-the-middle-node-of-a-linked-list/" TargetMode="External"/><Relationship Id="rId65" Type="http://schemas.openxmlformats.org/officeDocument/2006/relationships/hyperlink" Target="https://leetcode.com/problems/maximum-twin-sum-of-a-linked-list/" TargetMode="External"/><Relationship Id="rId66" Type="http://schemas.openxmlformats.org/officeDocument/2006/relationships/hyperlink" Target="https://leetcode.com/problems/split-linked-list-in-parts/" TargetMode="External"/><Relationship Id="rId67" Type="http://schemas.openxmlformats.org/officeDocument/2006/relationships/hyperlink" Target="https://leetcode.com/problems/next-greater-node-in-linked-list/" TargetMode="External"/><Relationship Id="rId68" Type="http://schemas.openxmlformats.org/officeDocument/2006/relationships/hyperlink" Target="https://leetcode.com/problems/add-two-numbers-ii/" TargetMode="External"/><Relationship Id="rId69" Type="http://schemas.openxmlformats.org/officeDocument/2006/relationships/hyperlink" Target="https://leetcode.com/problems/convert-sorted-list-to-binary-search-tree/" TargetMode="External"/><Relationship Id="rId70" Type="http://schemas.openxmlformats.org/officeDocument/2006/relationships/hyperlink" Target="https://leetcode.com/problems/insertion-sort-list/" TargetMode="External"/><Relationship Id="rId71" Type="http://schemas.openxmlformats.org/officeDocument/2006/relationships/hyperlink" Target="https://leetcode.com/problems/flatten-a-multilevel-doubly-linked-list/" TargetMode="External"/><Relationship Id="rId72" Type="http://schemas.openxmlformats.org/officeDocument/2006/relationships/hyperlink" Target="https://leetcode.com/problems/design-linked-list/" TargetMode="External"/><Relationship Id="rId73" Type="http://schemas.openxmlformats.org/officeDocument/2006/relationships/hyperlink" Target="https://leetcode.com/problems/merge-in-between-linked-lists/" TargetMode="External"/><Relationship Id="rId74" Type="http://schemas.openxmlformats.org/officeDocument/2006/relationships/hyperlink" Target="https://leetcode.com/problems/remove-zero-sum-consecutive-nodes-from-linked-list/" TargetMode="External"/><Relationship Id="rId75" Type="http://schemas.openxmlformats.org/officeDocument/2006/relationships/hyperlink" Target="https://leetcode.com/problems/swapping-nodes-in-a-linked-list/" TargetMode="External"/><Relationship Id="rId76" Type="http://schemas.openxmlformats.org/officeDocument/2006/relationships/hyperlink" Target="https://leetcode.com/problems/construct-binary-tree-from-inorder-and-postorder-traversal/" TargetMode="External"/><Relationship Id="rId77" Type="http://schemas.openxmlformats.org/officeDocument/2006/relationships/hyperlink" Target="https://leetcode.com/problems/construct-binary-search-tree-from-preorder-traversal/" TargetMode="External"/><Relationship Id="rId78" Type="http://schemas.openxmlformats.org/officeDocument/2006/relationships/hyperlink" Target="https://leetcode.com/problems/trim-a-binary-search-tree/" TargetMode="External"/><Relationship Id="rId79" Type="http://schemas.openxmlformats.org/officeDocument/2006/relationships/hyperlink" Target="https://leetcode.com/problems/insert-into-a-binary-search-tree/" TargetMode="External"/><Relationship Id="rId80" Type="http://schemas.openxmlformats.org/officeDocument/2006/relationships/hyperlink" Target="https://leetcode.com/problems/convert-bst-to-greater-tree/" TargetMode="External"/><Relationship Id="rId81" Type="http://schemas.openxmlformats.org/officeDocument/2006/relationships/hyperlink" Target="https://leetcode.com/problems/binary-tree-level-order-traversal-ii/" TargetMode="External"/><Relationship Id="rId82" Type="http://schemas.openxmlformats.org/officeDocument/2006/relationships/hyperlink" Target="https://leetcode.com/problems/find-largest-value-in-each-tree-row/" TargetMode="External"/><Relationship Id="rId83" Type="http://schemas.openxmlformats.org/officeDocument/2006/relationships/hyperlink" Target="https://leetcode.com/problems/populating-next-right-pointers-in-each-node-ii/" TargetMode="External"/><Relationship Id="rId84" Type="http://schemas.openxmlformats.org/officeDocument/2006/relationships/hyperlink" Target="https://leetcode.com/problems/longest-univalue-path/" TargetMode="External"/><Relationship Id="rId85" Type="http://schemas.openxmlformats.org/officeDocument/2006/relationships/hyperlink" Target="https://leetcode.com/problems/binary-tree-pruning/" TargetMode="External"/><Relationship Id="rId86" Type="http://schemas.openxmlformats.org/officeDocument/2006/relationships/hyperlink" Target="https://leetcode.com/problems/distribute-coins-in-binary-tree/" TargetMode="External"/><Relationship Id="rId87" Type="http://schemas.openxmlformats.org/officeDocument/2006/relationships/hyperlink" Target="https://leetcode.com/problems/amount-of-time-for-binary-tree-to-be-infected/" TargetMode="External"/><Relationship Id="rId88" Type="http://schemas.openxmlformats.org/officeDocument/2006/relationships/hyperlink" Target="https://leetcode.com/problems/step-by-step-directions-from-a-binary-tree-node-to-another/" TargetMode="External"/><Relationship Id="rId89" Type="http://schemas.openxmlformats.org/officeDocument/2006/relationships/hyperlink" Target="https://leetcode.com/problems/furthest-building-you-can-reach/" TargetMode="External"/><Relationship Id="rId90" Type="http://schemas.openxmlformats.org/officeDocument/2006/relationships/hyperlink" Target="https://leetcode.com/problems/process-tasks-using-servers/" TargetMode="External"/><Relationship Id="rId91" Type="http://schemas.openxmlformats.org/officeDocument/2006/relationships/hyperlink" Target="https://leetcode.com/problems/single-threaded-cpu/" TargetMode="External"/><Relationship Id="rId92" Type="http://schemas.openxmlformats.org/officeDocument/2006/relationships/hyperlink" Target="https://leetcode.com/problems/maximum-subsequence-score/" TargetMode="External"/><Relationship Id="rId93" Type="http://schemas.openxmlformats.org/officeDocument/2006/relationships/hyperlink" Target="https://leetcode.com/problems/total-cost-to-hire-k-workers/" TargetMode="External"/><Relationship Id="rId94" Type="http://schemas.openxmlformats.org/officeDocument/2006/relationships/hyperlink" Target="https://leetcode.com/problems/remove-stones-to-minimize-the-total/" TargetMode="External"/><Relationship Id="rId95" Type="http://schemas.openxmlformats.org/officeDocument/2006/relationships/hyperlink" Target="https://leetcode.com/problems/longest-happy-string/" TargetMode="External"/><Relationship Id="rId96" Type="http://schemas.openxmlformats.org/officeDocument/2006/relationships/hyperlink" Target="https://leetcode.com/problems/two-city-scheduling/" TargetMode="External"/><Relationship Id="rId97" Type="http://schemas.openxmlformats.org/officeDocument/2006/relationships/hyperlink" Target="https://leetcode.com/problems/bag-of-tokens/" TargetMode="External"/><Relationship Id="rId98" Type="http://schemas.openxmlformats.org/officeDocument/2006/relationships/hyperlink" Target="https://leetcode.com/problems/advantage-shuffle/" TargetMode="External"/><Relationship Id="rId99" Type="http://schemas.openxmlformats.org/officeDocument/2006/relationships/hyperlink" Target="https://leetcode.com/problems/minimum-increment-to-make-array-unique/" TargetMode="External"/><Relationship Id="rId100" Type="http://schemas.openxmlformats.org/officeDocument/2006/relationships/hyperlink" Target="https://leetcode.com/problems/video-stitching/" TargetMode="External"/><Relationship Id="rId101" Type="http://schemas.openxmlformats.org/officeDocument/2006/relationships/hyperlink" Target="https://leetcode.com/problems/find-unique-binary-string/" TargetMode="External"/><Relationship Id="rId102" Type="http://schemas.openxmlformats.org/officeDocument/2006/relationships/hyperlink" Target="https://leetcode.com/problems/the-k-th-lexicographical-string-of-all-happy-strings-of-a-given-length/" TargetMode="External"/><Relationship Id="rId103" Type="http://schemas.openxmlformats.org/officeDocument/2006/relationships/hyperlink" Target="https://leetcode.com/problems/maximum-length-of-a-concatenated-string-with-unique-characters/" TargetMode="External"/><Relationship Id="rId104" Type="http://schemas.openxmlformats.org/officeDocument/2006/relationships/hyperlink" Target="https://leetcode.com/problems/fair-distribution-of-cookies/" TargetMode="External"/><Relationship Id="rId105" Type="http://schemas.openxmlformats.org/officeDocument/2006/relationships/hyperlink" Target="https://leetcode.com/problems/increasing-subsequences/" TargetMode="External"/><Relationship Id="rId106" Type="http://schemas.openxmlformats.org/officeDocument/2006/relationships/hyperlink" Target="https://leetcode.com/problems/letter-tile-possibilities/" TargetMode="External"/><Relationship Id="rId107" Type="http://schemas.openxmlformats.org/officeDocument/2006/relationships/hyperlink" Target="https://leetcode.com/problems/numbers-with-same-consecutive-differences/" TargetMode="External"/><Relationship Id="rId108" Type="http://schemas.openxmlformats.org/officeDocument/2006/relationships/hyperlink" Target="https://leetcode.com/problems/construct-the-lexicographically-largest-valid-sequence/" TargetMode="External"/><Relationship Id="rId109" Type="http://schemas.openxmlformats.org/officeDocument/2006/relationships/hyperlink" Target="https://leetcode.com/problems/splitting-a-string-into-descending-consecutive-values/" TargetMode="External"/><Relationship Id="rId110" Type="http://schemas.openxmlformats.org/officeDocument/2006/relationships/hyperlink" Target="https://leetcode.com/problems/count-sorted-vowel-strings/" TargetMode="External"/><Relationship Id="rId111" Type="http://schemas.openxmlformats.org/officeDocument/2006/relationships/hyperlink" Target="https://leetcode.com/problems/find-the-punishment-number-of-an-integer/" TargetMode="External"/><Relationship Id="rId112" Type="http://schemas.openxmlformats.org/officeDocument/2006/relationships/hyperlink" Target="https://leetcode.com/problems/permutation-sequence/" TargetMode="External"/><Relationship Id="rId113" Type="http://schemas.openxmlformats.org/officeDocument/2006/relationships/hyperlink" Target="https://leetcode.com/problems/n-queens-ii/" TargetMode="External"/><Relationship Id="rId114" Type="http://schemas.openxmlformats.org/officeDocument/2006/relationships/hyperlink" Target="https://leetcode.com/problems/keys-and-rooms/" TargetMode="External"/><Relationship Id="rId115" Type="http://schemas.openxmlformats.org/officeDocument/2006/relationships/hyperlink" Target="https://leetcode.com/problems/all-paths-from-source-to-target/" TargetMode="External"/><Relationship Id="rId116" Type="http://schemas.openxmlformats.org/officeDocument/2006/relationships/hyperlink" Target="https://leetcode.com/problems/number-of-closed-islands/" TargetMode="External"/><Relationship Id="rId117" Type="http://schemas.openxmlformats.org/officeDocument/2006/relationships/hyperlink" Target="https://leetcode.com/problems/count-sub-islands/" TargetMode="External"/><Relationship Id="rId118" Type="http://schemas.openxmlformats.org/officeDocument/2006/relationships/hyperlink" Target="https://leetcode.com/problems/nearest-exit-from-entrance-in-maze/" TargetMode="External"/><Relationship Id="rId119" Type="http://schemas.openxmlformats.org/officeDocument/2006/relationships/hyperlink" Target="https://leetcode.com/problems/minimum-genetic-mutation/" TargetMode="External"/><Relationship Id="rId120" Type="http://schemas.openxmlformats.org/officeDocument/2006/relationships/hyperlink" Target="https://leetcode.com/problems/jump-game-iii/" TargetMode="External"/><Relationship Id="rId121" Type="http://schemas.openxmlformats.org/officeDocument/2006/relationships/hyperlink" Target="https://leetcode.com/problems/time-needed-to-inform-all-employees/" TargetMode="External"/><Relationship Id="rId122" Type="http://schemas.openxmlformats.org/officeDocument/2006/relationships/hyperlink" Target="https://leetcode.com/problems/as-far-from-land-as-possible/" TargetMode="External"/><Relationship Id="rId123" Type="http://schemas.openxmlformats.org/officeDocument/2006/relationships/hyperlink" Target="https://leetcode.com/problems/reorder-routes-to-make-all-paths-lead-to-the-city-zero/" TargetMode="External"/><Relationship Id="rId124" Type="http://schemas.openxmlformats.org/officeDocument/2006/relationships/hyperlink" Target="https://leetcode.com/problems/number-of-operations-to-make-network-connected/" TargetMode="External"/><Relationship Id="rId125" Type="http://schemas.openxmlformats.org/officeDocument/2006/relationships/hyperlink" Target="https://leetcode.com/problems/minimum-number-of-vertices-to-reach-all-nodes/" TargetMode="External"/><Relationship Id="rId126" Type="http://schemas.openxmlformats.org/officeDocument/2006/relationships/hyperlink" Target="https://leetcode.com/problems/minimum-score-of-a-path-between-two-cities/" TargetMode="External"/><Relationship Id="rId127" Type="http://schemas.openxmlformats.org/officeDocument/2006/relationships/hyperlink" Target="https://leetcode.com/problems/regions-cut-by-slashes/" TargetMode="External"/><Relationship Id="rId128" Type="http://schemas.openxmlformats.org/officeDocument/2006/relationships/hyperlink" Target="https://leetcode.com/problems/course-schedule-iv/" TargetMode="External"/><Relationship Id="rId129" Type="http://schemas.openxmlformats.org/officeDocument/2006/relationships/hyperlink" Target="https://leetcode.com/problems/minimum-time-to-collect-all-apples-in-a-tree/" TargetMode="External"/><Relationship Id="rId130" Type="http://schemas.openxmlformats.org/officeDocument/2006/relationships/hyperlink" Target="https://leetcode.com/problems/count-the-number-of-complete-components/" TargetMode="External"/><Relationship Id="rId131" Type="http://schemas.openxmlformats.org/officeDocument/2006/relationships/hyperlink" Target="https://leetcode.com/problems/validate-binary-tree-nodes/" TargetMode="External"/><Relationship Id="rId132" Type="http://schemas.openxmlformats.org/officeDocument/2006/relationships/hyperlink" Target="https://leetcode.com/problems/maximal-network-rank/" TargetMode="External"/><Relationship Id="rId133" Type="http://schemas.openxmlformats.org/officeDocument/2006/relationships/hyperlink" Target="https://leetcode.com/problems/remove-max-number-of-edges-to-keep-graph-fully-traversable/" TargetMode="External"/><Relationship Id="rId134" Type="http://schemas.openxmlformats.org/officeDocument/2006/relationships/hyperlink" Target="https://leetcode.com/problems/largest-component-size-by-common-factor/" TargetMode="External"/><Relationship Id="rId135" Type="http://schemas.openxmlformats.org/officeDocument/2006/relationships/hyperlink" Target="https://leetcode.com/problems/find-all-people-with-secret/" TargetMode="External"/><Relationship Id="rId136" Type="http://schemas.openxmlformats.org/officeDocument/2006/relationships/hyperlink" Target="https://leetcode.com/problems/minimum-cost-to-reach-destination-in-time/" TargetMode="External"/><Relationship Id="rId137" Type="http://schemas.openxmlformats.org/officeDocument/2006/relationships/hyperlink" Target="https://leetcode.com/problems/largest-color-value-in-a-directed-graph/" TargetMode="External"/><Relationship Id="rId138" Type="http://schemas.openxmlformats.org/officeDocument/2006/relationships/hyperlink" Target="https://leetcode.com/problems/number-of-dice-rolls-with-target-sum/" TargetMode="External"/><Relationship Id="rId139" Type="http://schemas.openxmlformats.org/officeDocument/2006/relationships/hyperlink" Target="https://leetcode.com/problems/knight-dialer/" TargetMode="External"/><Relationship Id="rId140" Type="http://schemas.openxmlformats.org/officeDocument/2006/relationships/hyperlink" Target="https://leetcode.com/problems/solving-questions-with-brainpower/" TargetMode="External"/><Relationship Id="rId141" Type="http://schemas.openxmlformats.org/officeDocument/2006/relationships/hyperlink" Target="https://leetcode.com/problems/count-ways-to-build-good-strings/" TargetMode="External"/><Relationship Id="rId142" Type="http://schemas.openxmlformats.org/officeDocument/2006/relationships/hyperlink" Target="https://leetcode.com/problems/2-keys-keyboard/" TargetMode="External"/><Relationship Id="rId143" Type="http://schemas.openxmlformats.org/officeDocument/2006/relationships/hyperlink" Target="https://leetcode.com/problems/best-sightseeing-pair/" TargetMode="External"/><Relationship Id="rId144" Type="http://schemas.openxmlformats.org/officeDocument/2006/relationships/hyperlink" Target="https://leetcode.com/problems/ugly-number-ii/" TargetMode="External"/><Relationship Id="rId145" Type="http://schemas.openxmlformats.org/officeDocument/2006/relationships/hyperlink" Target="https://leetcode.com/problems/maximum-subarray-sum-with-one-deletion/" TargetMode="External"/><Relationship Id="rId146" Type="http://schemas.openxmlformats.org/officeDocument/2006/relationships/hyperlink" Target="https://leetcode.com/problems/new-21-game/" TargetMode="External"/><Relationship Id="rId147" Type="http://schemas.openxmlformats.org/officeDocument/2006/relationships/hyperlink" Target="https://leetcode.com/problems/longest-ideal-subsequence/" TargetMode="External"/><Relationship Id="rId148" Type="http://schemas.openxmlformats.org/officeDocument/2006/relationships/hyperlink" Target="https://leetcode.com/problems/maximum-length-of-subarray-with-positive-product/" TargetMode="External"/><Relationship Id="rId149" Type="http://schemas.openxmlformats.org/officeDocument/2006/relationships/hyperlink" Target="https://leetcode.com/problems/minimum-cost-tree-from-leaf-values/" TargetMode="External"/><Relationship Id="rId150" Type="http://schemas.openxmlformats.org/officeDocument/2006/relationships/hyperlink" Target="https://leetcode.com/problems/count-number-of-ways-to-place-houses/" TargetMode="External"/><Relationship Id="rId151" Type="http://schemas.openxmlformats.org/officeDocument/2006/relationships/hyperlink" Target="https://leetcode.com/problems/interval-list-intersections/" TargetMode="External"/><Relationship Id="rId152" Type="http://schemas.openxmlformats.org/officeDocument/2006/relationships/hyperlink" Target="https://leetcode.com/problems/remove-covered-intervals/" TargetMode="External"/><Relationship Id="rId153" Type="http://schemas.openxmlformats.org/officeDocument/2006/relationships/hyperlink" Target="https://leetcode.com/problems/largest-number/" TargetMode="External"/><Relationship Id="rId154" Type="http://schemas.openxmlformats.org/officeDocument/2006/relationships/hyperlink" Target="https://leetcode.com/problems/wiggle-sort-ii/" TargetMode="External"/><Relationship Id="rId155" Type="http://schemas.openxmlformats.org/officeDocument/2006/relationships/hyperlink" Target="https://leetcode.com/problems/divide-intervals-into-minimum-number-of-groups/" TargetMode="External"/><Relationship Id="rId156" Type="http://schemas.openxmlformats.org/officeDocument/2006/relationships/hyperlink" Target="https://leetcode.com/problems/count-days-without-meetings/" TargetMode="External"/><Relationship Id="rId157" Type="http://schemas.openxmlformats.org/officeDocument/2006/relationships/hyperlink" Target="https://leetcode.com/problems/where-will-the-ball-fall/" TargetMode="External"/><Relationship Id="rId158" Type="http://schemas.openxmlformats.org/officeDocument/2006/relationships/hyperlink" Target="https://leetcode.com/problems/minesweeper/" TargetMode="External"/><Relationship Id="rId159" Type="http://schemas.openxmlformats.org/officeDocument/2006/relationships/hyperlink" Target="https://leetcode.com/problems/find-valid-matrix-given-row-and-column-sums/" TargetMode="External"/><Relationship Id="rId160" Type="http://schemas.openxmlformats.org/officeDocument/2006/relationships/hyperlink" Target="https://leetcode.com/problems/maximum-side-length-of-a-square-with-sum-less-than-or-equal-to-threshold/" TargetMode="External"/><Relationship Id="rId161" Type="http://schemas.openxmlformats.org/officeDocument/2006/relationships/hyperlink" Target="https://leetcode.com/problems/pancake-sorting/" TargetMode="External"/><Relationship Id="rId162" Type="http://schemas.openxmlformats.org/officeDocument/2006/relationships/hyperlink" Target="https://leetcode.com/problems/number-of-laser-beams-in-a-bank/" TargetMode="External"/><Relationship Id="rId163" Type="http://schemas.openxmlformats.org/officeDocument/2006/relationships/hyperlink" Target="https://leetcode.com/problems/implement-magic-dictionary/" TargetMode="External"/><Relationship Id="rId164" Type="http://schemas.openxmlformats.org/officeDocument/2006/relationships/hyperlink" Target="https://leetcode.com/problems/map-sum-pairs/" TargetMode="External"/><Relationship Id="rId165" Type="http://schemas.openxmlformats.org/officeDocument/2006/relationships/hyperlink" Target="https://leetcode.com/problems/longest-word-in-dictionary/" TargetMode="External"/><Relationship Id="rId166" Type="http://schemas.openxmlformats.org/officeDocument/2006/relationships/hyperlink" Target="https://leetcode.com/problems/camelcase-matching/" TargetMode="External"/><Relationship Id="rId167" Type="http://schemas.openxmlformats.org/officeDocument/2006/relationships/hyperlink" Target="https://leetcode.com/problems/encode-and-decode-tinyurl/" TargetMode="External"/><Relationship Id="rId168" Type="http://schemas.openxmlformats.org/officeDocument/2006/relationships/hyperlink" Target="https://leetcode.com/problems/string-compression/" TargetMode="External"/><Relationship Id="rId169" Type="http://schemas.openxmlformats.org/officeDocument/2006/relationships/hyperlink" Target="https://leetcode.com/problems/number-of-matching-subsequences/" TargetMode="External"/><Relationship Id="rId170" Type="http://schemas.openxmlformats.org/officeDocument/2006/relationships/hyperlink" Target="https://leetcode.com/problems/product-of-the-last-k-numbers/" TargetMode="External"/><Relationship Id="rId171" Type="http://schemas.openxmlformats.org/officeDocument/2006/relationships/hyperlink" Target="https://leetcode.com/problems/shuffle-an-array/" TargetMode="External"/><Relationship Id="rId172" Type="http://schemas.openxmlformats.org/officeDocument/2006/relationships/hyperlink" Target="https://leetcode.com/problems/linked-list-random-node/" TargetMode="External"/><Relationship Id="rId173" Type="http://schemas.openxmlformats.org/officeDocument/2006/relationships/hyperlink" Target="https://leetcode.com/problems/exam-room/" TargetMode="External"/><Relationship Id="rId174" Type="http://schemas.openxmlformats.org/officeDocument/2006/relationships/hyperlink" Target="https://leetcode.com/problems/online-election/" TargetMode="External"/><Relationship Id="rId175" Type="http://schemas.openxmlformats.org/officeDocument/2006/relationships/hyperlink" Target="https://leetcode.com/problems/stream-of-characters/" TargetMode="External"/><Relationship Id="rId176" Type="http://schemas.openxmlformats.org/officeDocument/2006/relationships/hyperlink" Target="https://leetcode.com/problems/bitwise-and-of-numbers-range/" TargetMode="External"/><Relationship Id="rId177" Type="http://schemas.openxmlformats.org/officeDocument/2006/relationships/hyperlink" Target="https://leetcode.com/problems/total-hamming-distance/" TargetMode="External"/><Relationship Id="rId178" Type="http://schemas.openxmlformats.org/officeDocument/2006/relationships/hyperlink" Target="https://leetcode.com/problems/minimum-flips-to-make-a-or-b-equal-to-c/" TargetMode="External"/><Relationship Id="rId179" Type="http://schemas.openxmlformats.org/officeDocument/2006/relationships/hyperlink" Target="https://leetcode.com/problems/fraction-to-recurring-decimal/" TargetMode="External"/><Relationship Id="rId180" Type="http://schemas.openxmlformats.org/officeDocument/2006/relationships/hyperlink" Target="https://leetcode.com/problems/factorial-trailing-zeroes/" TargetMode="External"/><Relationship Id="rId181" Type="http://schemas.openxmlformats.org/officeDocument/2006/relationships/hyperlink" Target="https://leetcode.com/problems/nth-digit/" TargetMode="External"/><Relationship Id="rId182" Type="http://schemas.openxmlformats.org/officeDocument/2006/relationships/hyperlink" Target="https://leetcode.com/problems/rectangle-area/" TargetMode="External"/><Relationship Id="rId183" Type="http://schemas.openxmlformats.org/officeDocument/2006/relationships/hyperlink" Target="https://leetcode.com/problems/reverse-integer/" TargetMode="External"/><Relationship Id="rId184" Type="http://schemas.openxmlformats.org/officeDocument/2006/relationships/hyperlink" Target="https://leetcode.com/problems/bulb-switcher/" TargetMode="External"/><Relationship Id="rId185" Type="http://schemas.openxmlformats.org/officeDocument/2006/relationships/hyperlink" Target="https://leetcode.com/problems/water-and-jug-problem/" TargetMode="External"/><Relationship Id="rId186" Type="http://schemas.openxmlformats.org/officeDocument/2006/relationships/hyperlink" Target="https://leetcode.com/problems/robot-bounded-in-circle/" TargetMode="External"/><Relationship Id="rId187" Type="http://schemas.openxmlformats.org/officeDocument/2006/relationships/hyperlink" Target="https://leetcode.com/problems/walking-robot-simulation/" TargetMode="External"/><Relationship Id="rId188" Type="http://schemas.openxmlformats.org/officeDocument/2006/relationships/hyperlink" Target="https://leetcode.com/problems/rearrange-array-elements-by-sign/" TargetMode="External"/><Relationship Id="rId189" Type="http://schemas.openxmlformats.org/officeDocument/2006/relationships/hyperlink" Target="https://leetcode.com/problems/shortest-subarray-to-be-removed-to-make-array-sorted/" TargetMode="External"/><Relationship Id="rId190" Type="http://schemas.openxmlformats.org/officeDocument/2006/relationships/hyperlink" Target="https://leetcode.com/problems/maximum-sum-of-two-non-overlapping-subarrays/" TargetMode="External"/><Relationship Id="rId191" Type="http://schemas.openxmlformats.org/officeDocument/2006/relationships/hyperlink" Target="https://leetcode.com/problems/lexicographically-smallest-equivalent-string/" TargetMode="External"/><Relationship Id="rId192" Type="http://schemas.openxmlformats.org/officeDocument/2006/relationships/hyperlink" Target="https://leetcode.com/problems/optimal-partition-of-string/" TargetMode="External"/><Relationship Id="rId193" Type="http://schemas.openxmlformats.org/officeDocument/2006/relationships/hyperlink" Target="https://leetcode.com/problems/partition-array-such-that-maximum-difference-is-k/" TargetMode="External"/><Relationship Id="rId194" Type="http://schemas.openxmlformats.org/officeDocument/2006/relationships/hyperlink" Target="https://leetcode.com/problems/sliding-subarray-beauty/" TargetMode="External"/><Relationship Id="rId195" Type="http://schemas.openxmlformats.org/officeDocument/2006/relationships/hyperlink" Target="https://leetcode.com/problems/kth-largest-sum-in-a-binary-tree/" TargetMode="External"/><Relationship Id="rId196" Type="http://schemas.openxmlformats.org/officeDocument/2006/relationships/hyperlink" Target="https://leetcode.com/problems/minimum-operations-to-convert-number/" TargetMode="External"/><Relationship Id="rId197" Type="http://schemas.openxmlformats.org/officeDocument/2006/relationships/hyperlink" Target="https://leetcode.com/problems/determine-if-two-strings-are-close/" TargetMode="External"/><Relationship Id="rId198" Type="http://schemas.openxmlformats.org/officeDocument/2006/relationships/hyperlink" Target="https://leetcode.com/problems/find-players-with-zero-or-one-losses/" TargetMode="External"/><Relationship Id="rId199" Type="http://schemas.openxmlformats.org/officeDocument/2006/relationships/hyperlink" Target="https://leetcode.com/problems/sequential-digits/" TargetMode="External"/><Relationship Id="rId200" Type="http://schemas.openxmlformats.org/officeDocument/2006/relationships/hyperlink" Target="https://leetcode.com/problems/group-the-people-given-the-group-size-they-belong-to/" TargetMode="External"/><Relationship Id="rId20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46314</v>
      </c>
      <c r="C4" s="5" t="s">
        <v>3</v>
      </c>
    </row>
    <row r="6" customFormat="false" ht="15" hidden="false" customHeight="false" outlineLevel="0" collapsed="false">
      <c r="A6" s="6" t="s">
        <v>4</v>
      </c>
    </row>
    <row r="7" customFormat="false" ht="23.85" hidden="false" customHeight="false" outlineLevel="0" collapsed="false">
      <c r="A7" s="7" t="s">
        <v>5</v>
      </c>
      <c r="B7" s="8" t="s">
        <v>6</v>
      </c>
    </row>
    <row r="8" customFormat="false" ht="23.85" hidden="false" customHeight="false" outlineLevel="0" collapsed="false">
      <c r="A8" s="7" t="s">
        <v>7</v>
      </c>
      <c r="B8" s="8" t="s">
        <v>8</v>
      </c>
    </row>
    <row r="9" customFormat="false" ht="15" hidden="false" customHeight="false" outlineLevel="0" collapsed="false">
      <c r="A9" s="7" t="s">
        <v>9</v>
      </c>
      <c r="B9" s="8" t="s">
        <v>10</v>
      </c>
    </row>
    <row r="11" customFormat="false" ht="15" hidden="false" customHeight="false" outlineLevel="0" collapsed="false">
      <c r="A11" s="6" t="s">
        <v>11</v>
      </c>
    </row>
    <row r="12" customFormat="false" ht="15" hidden="false" customHeight="false" outlineLevel="0" collapsed="false">
      <c r="A12" s="7" t="s">
        <v>12</v>
      </c>
      <c r="B12" s="8" t="s">
        <v>13</v>
      </c>
    </row>
    <row r="13" customFormat="false" ht="15" hidden="false" customHeight="false" outlineLevel="0" collapsed="false">
      <c r="A13" s="7" t="s">
        <v>14</v>
      </c>
      <c r="B13" s="8" t="s">
        <v>15</v>
      </c>
    </row>
    <row r="14" customFormat="false" ht="15" hidden="false" customHeight="false" outlineLevel="0" collapsed="false">
      <c r="A14" s="7" t="s">
        <v>16</v>
      </c>
      <c r="B14" s="8" t="s">
        <v>17</v>
      </c>
    </row>
    <row r="15" customFormat="false" ht="15" hidden="false" customHeight="false" outlineLevel="0" collapsed="false">
      <c r="A15" s="7" t="s">
        <v>18</v>
      </c>
      <c r="B15" s="8" t="s">
        <v>19</v>
      </c>
    </row>
    <row r="17" customFormat="false" ht="15" hidden="false" customHeight="false" outlineLevel="0" collapsed="false">
      <c r="A17" s="6" t="s">
        <v>20</v>
      </c>
    </row>
    <row r="18" customFormat="false" ht="15" hidden="false" customHeight="false" outlineLevel="0" collapsed="false">
      <c r="A18" s="7" t="s">
        <v>21</v>
      </c>
      <c r="B18" s="8" t="s">
        <v>22</v>
      </c>
    </row>
    <row r="19" customFormat="false" ht="15" hidden="false" customHeight="false" outlineLevel="0" collapsed="false">
      <c r="A19" s="7" t="s">
        <v>23</v>
      </c>
      <c r="B19" s="8" t="s">
        <v>24</v>
      </c>
    </row>
    <row r="20" customFormat="false" ht="15" hidden="false" customHeight="false" outlineLevel="0" collapsed="false">
      <c r="A20" s="7" t="s">
        <v>25</v>
      </c>
      <c r="B20" s="8" t="s">
        <v>26</v>
      </c>
    </row>
    <row r="21" customFormat="false" ht="15" hidden="false" customHeight="false" outlineLevel="0" collapsed="false">
      <c r="A21" s="7" t="s">
        <v>27</v>
      </c>
      <c r="B21" s="8" t="s">
        <v>28</v>
      </c>
    </row>
    <row r="23" customFormat="false" ht="15" hidden="false" customHeight="false" outlineLevel="0" collapsed="false">
      <c r="A23" s="6" t="s">
        <v>29</v>
      </c>
    </row>
    <row r="24" customFormat="false" ht="15" hidden="false" customHeight="false" outlineLevel="0" collapsed="false">
      <c r="A24" s="7" t="s">
        <v>30</v>
      </c>
      <c r="B24" s="8" t="s">
        <v>31</v>
      </c>
    </row>
    <row r="25" customFormat="false" ht="15" hidden="false" customHeight="false" outlineLevel="0" collapsed="false">
      <c r="A25" s="7" t="s">
        <v>32</v>
      </c>
      <c r="B25" s="8" t="s">
        <v>33</v>
      </c>
    </row>
    <row r="26" customFormat="false" ht="15" hidden="false" customHeight="false" outlineLevel="0" collapsed="false">
      <c r="A26" s="7" t="s">
        <v>34</v>
      </c>
      <c r="B26" s="8" t="s">
        <v>35</v>
      </c>
    </row>
    <row r="27" customFormat="false" ht="15" hidden="false" customHeight="false" outlineLevel="0" collapsed="false">
      <c r="A27" s="7" t="s">
        <v>36</v>
      </c>
      <c r="B27" s="8" t="s">
        <v>37</v>
      </c>
    </row>
    <row r="28" customFormat="false" ht="23.85" hidden="false" customHeight="false" outlineLevel="0" collapsed="false">
      <c r="A28" s="7" t="s">
        <v>38</v>
      </c>
      <c r="B28" s="8" t="s">
        <v>39</v>
      </c>
    </row>
    <row r="29" customFormat="false" ht="15" hidden="false" customHeight="false" outlineLevel="0" collapsed="false">
      <c r="A29" s="7" t="s">
        <v>40</v>
      </c>
      <c r="B29" s="8" t="s">
        <v>41</v>
      </c>
    </row>
    <row r="31" customFormat="false" ht="15" hidden="false" customHeight="false" outlineLevel="0" collapsed="false">
      <c r="A31" s="6" t="s">
        <v>42</v>
      </c>
    </row>
    <row r="32" customFormat="false" ht="15" hidden="false" customHeight="false" outlineLevel="0" collapsed="false">
      <c r="A32" s="7" t="s">
        <v>43</v>
      </c>
      <c r="B32" s="8" t="s">
        <v>44</v>
      </c>
    </row>
    <row r="33" customFormat="false" ht="15" hidden="false" customHeight="false" outlineLevel="0" collapsed="false">
      <c r="A33" s="7" t="s">
        <v>45</v>
      </c>
      <c r="B33" s="8" t="s">
        <v>46</v>
      </c>
    </row>
    <row r="34" customFormat="false" ht="23.85" hidden="false" customHeight="false" outlineLevel="0" collapsed="false">
      <c r="A34" s="7" t="s">
        <v>47</v>
      </c>
      <c r="B34" s="8" t="s">
        <v>48</v>
      </c>
    </row>
    <row r="35" customFormat="false" ht="15" hidden="false" customHeight="false" outlineLevel="0" collapsed="false">
      <c r="A35" s="7" t="s">
        <v>49</v>
      </c>
      <c r="B35" s="8" t="s">
        <v>50</v>
      </c>
    </row>
    <row r="36" customFormat="false" ht="15" hidden="false" customHeight="false" outlineLevel="0" collapsed="false">
      <c r="A36" s="7" t="s">
        <v>51</v>
      </c>
      <c r="B36" s="8" t="s">
        <v>52</v>
      </c>
    </row>
    <row r="38" customFormat="false" ht="15" hidden="false" customHeight="false" outlineLevel="0" collapsed="false">
      <c r="A38" s="6" t="s">
        <v>53</v>
      </c>
    </row>
    <row r="39" customFormat="false" ht="23.85" hidden="false" customHeight="false" outlineLevel="0" collapsed="false">
      <c r="A39" s="7" t="s">
        <v>54</v>
      </c>
      <c r="B39" s="8" t="s">
        <v>55</v>
      </c>
    </row>
    <row r="40" customFormat="false" ht="15" hidden="false" customHeight="false" outlineLevel="0" collapsed="false">
      <c r="A40" s="7" t="s">
        <v>56</v>
      </c>
      <c r="B40" s="8" t="s">
        <v>57</v>
      </c>
    </row>
    <row r="42" customFormat="false" ht="15" hidden="false" customHeight="false" outlineLevel="0" collapsed="false">
      <c r="A42" s="6" t="s">
        <v>58</v>
      </c>
    </row>
    <row r="43" customFormat="false" ht="15" hidden="false" customHeight="false" outlineLevel="0" collapsed="false">
      <c r="A43" s="7" t="s">
        <v>59</v>
      </c>
      <c r="B43" s="8" t="s">
        <v>60</v>
      </c>
    </row>
    <row r="44" customFormat="false" ht="15" hidden="false" customHeight="false" outlineLevel="0" collapsed="false">
      <c r="A44" s="7" t="s">
        <v>61</v>
      </c>
      <c r="B44" s="8" t="s">
        <v>62</v>
      </c>
    </row>
    <row r="46" customFormat="false" ht="15" hidden="false" customHeight="false" outlineLevel="0" collapsed="false">
      <c r="A46" s="6" t="s">
        <v>63</v>
      </c>
    </row>
    <row r="47" customFormat="false" ht="23.85" hidden="false" customHeight="false" outlineLevel="0" collapsed="false">
      <c r="A47" s="7" t="s">
        <v>64</v>
      </c>
      <c r="B47" s="8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36"/>
    <col collapsed="false" customWidth="true" hidden="false" outlineLevel="0" max="5" min="5" style="0" width="52"/>
    <col collapsed="false" customWidth="true" hidden="false" outlineLevel="0" max="7" min="6" style="0" width="12"/>
    <col collapsed="false" customWidth="true" hidden="false" outlineLevel="0" max="8" min="8" style="0" width="48"/>
  </cols>
  <sheetData>
    <row r="1" customFormat="false" ht="23.8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</row>
    <row r="2" customFormat="false" ht="15" hidden="false" customHeight="false" outlineLevel="0" collapsed="false">
      <c r="A2" s="10" t="n">
        <v>0</v>
      </c>
      <c r="B2" s="11" t="n">
        <f aca="false">ReadMe!$B$4+7*A2</f>
        <v>46314</v>
      </c>
      <c r="C2" s="10" t="s">
        <v>74</v>
      </c>
      <c r="D2" s="10" t="s">
        <v>75</v>
      </c>
      <c r="E2" s="10" t="s">
        <v>76</v>
      </c>
      <c r="F2" s="10" t="n">
        <f aca="false">COUNTIF(Problems!$B:$B,A2)</f>
        <v>0</v>
      </c>
      <c r="G2" s="10" t="n">
        <f aca="false">COUNTIFS(Problems!$B:$B,A2,Problems!$F:$F,"P1")</f>
        <v>0</v>
      </c>
      <c r="H2" s="10" t="s">
        <v>77</v>
      </c>
    </row>
    <row r="3" customFormat="false" ht="23.85" hidden="false" customHeight="false" outlineLevel="0" collapsed="false">
      <c r="A3" s="10" t="n">
        <v>1</v>
      </c>
      <c r="B3" s="11" t="n">
        <f aca="false">ReadMe!$B$4+7*A3</f>
        <v>46321</v>
      </c>
      <c r="C3" s="10" t="s">
        <v>78</v>
      </c>
      <c r="D3" s="10" t="s">
        <v>79</v>
      </c>
      <c r="E3" s="10" t="s">
        <v>80</v>
      </c>
      <c r="F3" s="10" t="n">
        <f aca="false">COUNTIF(Problems!$B:$B,A3)</f>
        <v>13</v>
      </c>
      <c r="G3" s="10" t="n">
        <f aca="false">COUNTIFS(Problems!$B:$B,A3,Problems!$F:$F,"P1")</f>
        <v>6</v>
      </c>
      <c r="H3" s="10" t="s">
        <v>81</v>
      </c>
    </row>
    <row r="4" customFormat="false" ht="23.85" hidden="false" customHeight="false" outlineLevel="0" collapsed="false">
      <c r="A4" s="10" t="n">
        <v>2</v>
      </c>
      <c r="B4" s="11" t="n">
        <f aca="false">ReadMe!$B$4+7*A4</f>
        <v>46328</v>
      </c>
      <c r="C4" s="10" t="s">
        <v>78</v>
      </c>
      <c r="D4" s="10" t="s">
        <v>82</v>
      </c>
      <c r="E4" s="10" t="s">
        <v>83</v>
      </c>
      <c r="F4" s="10" t="n">
        <f aca="false">COUNTIF(Problems!$B:$B,A4)</f>
        <v>13</v>
      </c>
      <c r="G4" s="10" t="n">
        <f aca="false">COUNTIFS(Problems!$B:$B,A4,Problems!$F:$F,"P1")</f>
        <v>6</v>
      </c>
      <c r="H4" s="10" t="s">
        <v>81</v>
      </c>
    </row>
    <row r="5" customFormat="false" ht="23.85" hidden="false" customHeight="false" outlineLevel="0" collapsed="false">
      <c r="A5" s="10" t="n">
        <v>3</v>
      </c>
      <c r="B5" s="11" t="n">
        <f aca="false">ReadMe!$B$4+7*A5</f>
        <v>46335</v>
      </c>
      <c r="C5" s="10" t="s">
        <v>78</v>
      </c>
      <c r="D5" s="10" t="s">
        <v>84</v>
      </c>
      <c r="E5" s="10" t="s">
        <v>85</v>
      </c>
      <c r="F5" s="10" t="n">
        <f aca="false">COUNTIF(Problems!$B:$B,A5)</f>
        <v>12</v>
      </c>
      <c r="G5" s="10" t="n">
        <f aca="false">COUNTIFS(Problems!$B:$B,A5,Problems!$F:$F,"P1")</f>
        <v>5</v>
      </c>
      <c r="H5" s="10" t="s">
        <v>81</v>
      </c>
    </row>
    <row r="6" customFormat="false" ht="23.85" hidden="false" customHeight="false" outlineLevel="0" collapsed="false">
      <c r="A6" s="10" t="n">
        <v>4</v>
      </c>
      <c r="B6" s="11" t="n">
        <f aca="false">ReadMe!$B$4+7*A6</f>
        <v>46342</v>
      </c>
      <c r="C6" s="10" t="s">
        <v>78</v>
      </c>
      <c r="D6" s="10" t="s">
        <v>86</v>
      </c>
      <c r="E6" s="10" t="s">
        <v>87</v>
      </c>
      <c r="F6" s="10" t="n">
        <f aca="false">COUNTIF(Problems!$B:$B,A6)</f>
        <v>13</v>
      </c>
      <c r="G6" s="10" t="n">
        <f aca="false">COUNTIFS(Problems!$B:$B,A6,Problems!$F:$F,"P1")</f>
        <v>6</v>
      </c>
      <c r="H6" s="10" t="s">
        <v>81</v>
      </c>
    </row>
    <row r="7" customFormat="false" ht="23.85" hidden="false" customHeight="false" outlineLevel="0" collapsed="false">
      <c r="A7" s="12" t="n">
        <v>5</v>
      </c>
      <c r="B7" s="13" t="n">
        <f aca="false">ReadMe!$B$4+7*A7</f>
        <v>46349</v>
      </c>
      <c r="C7" s="12" t="s">
        <v>78</v>
      </c>
      <c r="D7" s="12" t="s">
        <v>88</v>
      </c>
      <c r="E7" s="12" t="s">
        <v>89</v>
      </c>
      <c r="F7" s="12" t="n">
        <f aca="false">COUNTIF(Problems!$B:$B,A7)</f>
        <v>12</v>
      </c>
      <c r="G7" s="12" t="n">
        <f aca="false">COUNTIFS(Problems!$B:$B,A7,Problems!$F:$F,"P1")</f>
        <v>5</v>
      </c>
      <c r="H7" s="12" t="s">
        <v>90</v>
      </c>
    </row>
    <row r="8" customFormat="false" ht="15" hidden="false" customHeight="false" outlineLevel="0" collapsed="false">
      <c r="A8" s="10" t="n">
        <v>6</v>
      </c>
      <c r="B8" s="11" t="n">
        <f aca="false">ReadMe!$B$4+7*A8</f>
        <v>46356</v>
      </c>
      <c r="C8" s="10" t="s">
        <v>91</v>
      </c>
      <c r="D8" s="10" t="s">
        <v>92</v>
      </c>
      <c r="E8" s="10" t="s">
        <v>93</v>
      </c>
      <c r="F8" s="10" t="n">
        <f aca="false">COUNTIF(Problems!$B:$B,A8)</f>
        <v>12</v>
      </c>
      <c r="G8" s="10" t="n">
        <f aca="false">COUNTIFS(Problems!$B:$B,A8,Problems!$F:$F,"P1")</f>
        <v>5</v>
      </c>
      <c r="H8" s="10" t="s">
        <v>81</v>
      </c>
    </row>
    <row r="9" customFormat="false" ht="15" hidden="false" customHeight="false" outlineLevel="0" collapsed="false">
      <c r="A9" s="10" t="n">
        <v>7</v>
      </c>
      <c r="B9" s="11" t="n">
        <f aca="false">ReadMe!$B$4+7*A9</f>
        <v>46363</v>
      </c>
      <c r="C9" s="10" t="s">
        <v>91</v>
      </c>
      <c r="D9" s="10" t="s">
        <v>94</v>
      </c>
      <c r="E9" s="10" t="s">
        <v>95</v>
      </c>
      <c r="F9" s="10" t="n">
        <f aca="false">COUNTIF(Problems!$B:$B,A9)</f>
        <v>13</v>
      </c>
      <c r="G9" s="10" t="n">
        <f aca="false">COUNTIFS(Problems!$B:$B,A9,Problems!$F:$F,"P1")</f>
        <v>6</v>
      </c>
      <c r="H9" s="10" t="s">
        <v>81</v>
      </c>
    </row>
    <row r="10" customFormat="false" ht="15" hidden="false" customHeight="false" outlineLevel="0" collapsed="false">
      <c r="A10" s="10" t="n">
        <v>8</v>
      </c>
      <c r="B10" s="11" t="n">
        <f aca="false">ReadMe!$B$4+7*A10</f>
        <v>46370</v>
      </c>
      <c r="C10" s="10" t="s">
        <v>91</v>
      </c>
      <c r="D10" s="10" t="s">
        <v>96</v>
      </c>
      <c r="E10" s="10" t="s">
        <v>97</v>
      </c>
      <c r="F10" s="10" t="n">
        <f aca="false">COUNTIF(Problems!$B:$B,A10)</f>
        <v>12</v>
      </c>
      <c r="G10" s="10" t="n">
        <f aca="false">COUNTIFS(Problems!$B:$B,A10,Problems!$F:$F,"P1")</f>
        <v>5</v>
      </c>
      <c r="H10" s="10" t="s">
        <v>81</v>
      </c>
    </row>
    <row r="11" customFormat="false" ht="15" hidden="false" customHeight="false" outlineLevel="0" collapsed="false">
      <c r="A11" s="10" t="n">
        <v>9</v>
      </c>
      <c r="B11" s="11" t="n">
        <f aca="false">ReadMe!$B$4+7*A11</f>
        <v>46377</v>
      </c>
      <c r="C11" s="10" t="s">
        <v>91</v>
      </c>
      <c r="D11" s="10" t="s">
        <v>98</v>
      </c>
      <c r="E11" s="10" t="s">
        <v>99</v>
      </c>
      <c r="F11" s="10" t="n">
        <f aca="false">COUNTIF(Problems!$B:$B,A11)</f>
        <v>13</v>
      </c>
      <c r="G11" s="10" t="n">
        <f aca="false">COUNTIFS(Problems!$B:$B,A11,Problems!$F:$F,"P1")</f>
        <v>6</v>
      </c>
      <c r="H11" s="10" t="s">
        <v>81</v>
      </c>
    </row>
    <row r="12" customFormat="false" ht="15" hidden="false" customHeight="false" outlineLevel="0" collapsed="false">
      <c r="A12" s="10" t="n">
        <v>10</v>
      </c>
      <c r="B12" s="11" t="n">
        <f aca="false">ReadMe!$B$4+7*A12</f>
        <v>46384</v>
      </c>
      <c r="C12" s="10" t="s">
        <v>91</v>
      </c>
      <c r="D12" s="10" t="s">
        <v>100</v>
      </c>
      <c r="E12" s="10" t="s">
        <v>101</v>
      </c>
      <c r="F12" s="10" t="n">
        <f aca="false">COUNTIF(Problems!$B:$B,A12)</f>
        <v>12</v>
      </c>
      <c r="G12" s="10" t="n">
        <f aca="false">COUNTIFS(Problems!$B:$B,A12,Problems!$F:$F,"P1")</f>
        <v>5</v>
      </c>
      <c r="H12" s="10" t="s">
        <v>81</v>
      </c>
    </row>
    <row r="13" customFormat="false" ht="15" hidden="false" customHeight="false" outlineLevel="0" collapsed="false">
      <c r="A13" s="12" t="n">
        <v>11</v>
      </c>
      <c r="B13" s="13" t="n">
        <f aca="false">ReadMe!$B$4+7*A13</f>
        <v>46391</v>
      </c>
      <c r="C13" s="12" t="s">
        <v>91</v>
      </c>
      <c r="D13" s="12" t="s">
        <v>102</v>
      </c>
      <c r="E13" s="12" t="s">
        <v>103</v>
      </c>
      <c r="F13" s="12" t="n">
        <f aca="false">COUNTIF(Problems!$B:$B,A13)</f>
        <v>12</v>
      </c>
      <c r="G13" s="12" t="n">
        <f aca="false">COUNTIFS(Problems!$B:$B,A13,Problems!$F:$F,"P1")</f>
        <v>5</v>
      </c>
      <c r="H13" s="12" t="s">
        <v>104</v>
      </c>
    </row>
    <row r="14" customFormat="false" ht="15" hidden="false" customHeight="false" outlineLevel="0" collapsed="false">
      <c r="A14" s="10" t="n">
        <v>12</v>
      </c>
      <c r="B14" s="11" t="n">
        <f aca="false">ReadMe!$B$4+7*A14</f>
        <v>46398</v>
      </c>
      <c r="C14" s="10" t="s">
        <v>105</v>
      </c>
      <c r="D14" s="10" t="s">
        <v>106</v>
      </c>
      <c r="E14" s="10" t="s">
        <v>107</v>
      </c>
      <c r="F14" s="10" t="n">
        <f aca="false">COUNTIF(Problems!$B:$B,A14)</f>
        <v>13</v>
      </c>
      <c r="G14" s="10" t="n">
        <f aca="false">COUNTIFS(Problems!$B:$B,A14,Problems!$F:$F,"P1")</f>
        <v>6</v>
      </c>
      <c r="H14" s="10" t="s">
        <v>81</v>
      </c>
    </row>
    <row r="15" customFormat="false" ht="15" hidden="false" customHeight="false" outlineLevel="0" collapsed="false">
      <c r="A15" s="10" t="n">
        <v>13</v>
      </c>
      <c r="B15" s="11" t="n">
        <f aca="false">ReadMe!$B$4+7*A15</f>
        <v>46405</v>
      </c>
      <c r="C15" s="10" t="s">
        <v>105</v>
      </c>
      <c r="D15" s="10" t="s">
        <v>108</v>
      </c>
      <c r="E15" s="10" t="s">
        <v>109</v>
      </c>
      <c r="F15" s="10" t="n">
        <f aca="false">COUNTIF(Problems!$B:$B,A15)</f>
        <v>12</v>
      </c>
      <c r="G15" s="10" t="n">
        <f aca="false">COUNTIFS(Problems!$B:$B,A15,Problems!$F:$F,"P1")</f>
        <v>5</v>
      </c>
      <c r="H15" s="10" t="s">
        <v>81</v>
      </c>
    </row>
    <row r="16" customFormat="false" ht="15" hidden="false" customHeight="false" outlineLevel="0" collapsed="false">
      <c r="A16" s="10" t="n">
        <v>14</v>
      </c>
      <c r="B16" s="11" t="n">
        <f aca="false">ReadMe!$B$4+7*A16</f>
        <v>46412</v>
      </c>
      <c r="C16" s="10" t="s">
        <v>105</v>
      </c>
      <c r="D16" s="10" t="s">
        <v>110</v>
      </c>
      <c r="E16" s="10" t="s">
        <v>111</v>
      </c>
      <c r="F16" s="10" t="n">
        <f aca="false">COUNTIF(Problems!$B:$B,A16)</f>
        <v>13</v>
      </c>
      <c r="G16" s="10" t="n">
        <f aca="false">COUNTIFS(Problems!$B:$B,A16,Problems!$F:$F,"P1")</f>
        <v>6</v>
      </c>
      <c r="H16" s="10" t="s">
        <v>81</v>
      </c>
    </row>
    <row r="17" customFormat="false" ht="15" hidden="false" customHeight="false" outlineLevel="0" collapsed="false">
      <c r="A17" s="10" t="n">
        <v>15</v>
      </c>
      <c r="B17" s="11" t="n">
        <f aca="false">ReadMe!$B$4+7*A17</f>
        <v>46419</v>
      </c>
      <c r="C17" s="10" t="s">
        <v>105</v>
      </c>
      <c r="D17" s="10" t="s">
        <v>112</v>
      </c>
      <c r="E17" s="10" t="s">
        <v>113</v>
      </c>
      <c r="F17" s="10" t="n">
        <f aca="false">COUNTIF(Problems!$B:$B,A17)</f>
        <v>12</v>
      </c>
      <c r="G17" s="10" t="n">
        <f aca="false">COUNTIFS(Problems!$B:$B,A17,Problems!$F:$F,"P1")</f>
        <v>5</v>
      </c>
      <c r="H17" s="10" t="s">
        <v>81</v>
      </c>
    </row>
    <row r="18" customFormat="false" ht="23.85" hidden="false" customHeight="false" outlineLevel="0" collapsed="false">
      <c r="A18" s="12" t="n">
        <v>16</v>
      </c>
      <c r="B18" s="13" t="n">
        <f aca="false">ReadMe!$B$4+7*A18</f>
        <v>46426</v>
      </c>
      <c r="C18" s="12" t="s">
        <v>105</v>
      </c>
      <c r="D18" s="12" t="s">
        <v>114</v>
      </c>
      <c r="E18" s="12" t="s">
        <v>115</v>
      </c>
      <c r="F18" s="12" t="n">
        <f aca="false">COUNTIF(Problems!$B:$B,A18)</f>
        <v>13</v>
      </c>
      <c r="G18" s="12" t="n">
        <f aca="false">COUNTIFS(Problems!$B:$B,A18,Problems!$F:$F,"P1")</f>
        <v>6</v>
      </c>
      <c r="H18" s="12" t="s">
        <v>116</v>
      </c>
    </row>
    <row r="19" customFormat="false" ht="15" hidden="false" customHeight="false" outlineLevel="0" collapsed="false">
      <c r="A19" s="10"/>
      <c r="B19" s="10"/>
      <c r="C19" s="10"/>
      <c r="D19" s="10"/>
      <c r="E19" s="14" t="s">
        <v>117</v>
      </c>
      <c r="F19" s="14" t="n">
        <f aca="false">SUM(F2:F18)</f>
        <v>200</v>
      </c>
      <c r="G19" s="14" t="n">
        <f aca="false">SUM(G2:G18)</f>
        <v>88</v>
      </c>
      <c r="H19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7"/>
    <col collapsed="false" customWidth="true" hidden="false" outlineLevel="0" max="3" min="3" style="0" width="3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  <col collapsed="false" customWidth="true" hidden="false" outlineLevel="0" max="12" min="12" style="0" width="50"/>
  </cols>
  <sheetData>
    <row r="1" customFormat="false" ht="31.5" hidden="false" customHeight="true" outlineLevel="0" collapsed="false">
      <c r="A1" s="9" t="s">
        <v>118</v>
      </c>
      <c r="B1" s="9" t="s">
        <v>66</v>
      </c>
      <c r="C1" s="9" t="s">
        <v>119</v>
      </c>
      <c r="D1" s="9" t="s">
        <v>120</v>
      </c>
      <c r="E1" s="9" t="s">
        <v>121</v>
      </c>
      <c r="F1" s="9" t="s">
        <v>122</v>
      </c>
      <c r="G1" s="9" t="s">
        <v>123</v>
      </c>
      <c r="H1" s="9" t="s">
        <v>124</v>
      </c>
      <c r="I1" s="9" t="s">
        <v>125</v>
      </c>
      <c r="J1" s="9" t="s">
        <v>126</v>
      </c>
      <c r="K1" s="9" t="s">
        <v>127</v>
      </c>
      <c r="L1" s="9" t="s">
        <v>128</v>
      </c>
    </row>
    <row r="2" customFormat="false" ht="15" hidden="false" customHeight="false" outlineLevel="0" collapsed="false">
      <c r="A2" s="15" t="n">
        <v>1</v>
      </c>
      <c r="B2" s="15" t="n">
        <v>1</v>
      </c>
      <c r="C2" s="16" t="s">
        <v>79</v>
      </c>
      <c r="D2" s="17" t="s">
        <v>129</v>
      </c>
      <c r="E2" s="15" t="s">
        <v>130</v>
      </c>
      <c r="F2" s="15" t="s">
        <v>59</v>
      </c>
      <c r="G2" s="15" t="s">
        <v>21</v>
      </c>
      <c r="H2" s="18"/>
      <c r="I2" s="15"/>
      <c r="J2" s="15" t="n">
        <v>0</v>
      </c>
      <c r="K2" s="18" t="str">
        <f aca="false">IF(J2&gt;=5,"Done",IF(H2="","",H2+CHOOSE(J2+1,1,3,7,21,60)))</f>
        <v/>
      </c>
      <c r="L2" s="16"/>
    </row>
    <row r="3" customFormat="false" ht="15" hidden="false" customHeight="false" outlineLevel="0" collapsed="false">
      <c r="A3" s="15" t="n">
        <v>2</v>
      </c>
      <c r="B3" s="15" t="n">
        <v>1</v>
      </c>
      <c r="C3" s="16" t="s">
        <v>79</v>
      </c>
      <c r="D3" s="17" t="s">
        <v>131</v>
      </c>
      <c r="E3" s="15" t="s">
        <v>130</v>
      </c>
      <c r="F3" s="15" t="s">
        <v>59</v>
      </c>
      <c r="G3" s="15" t="s">
        <v>21</v>
      </c>
      <c r="H3" s="18"/>
      <c r="I3" s="15"/>
      <c r="J3" s="15" t="n">
        <v>0</v>
      </c>
      <c r="K3" s="18" t="str">
        <f aca="false">IF(J3&gt;=5,"Done",IF(H3="","",H3+CHOOSE(J3+1,1,3,7,21,60)))</f>
        <v/>
      </c>
      <c r="L3" s="16"/>
    </row>
    <row r="4" customFormat="false" ht="15" hidden="false" customHeight="false" outlineLevel="0" collapsed="false">
      <c r="A4" s="15" t="n">
        <v>3</v>
      </c>
      <c r="B4" s="15" t="n">
        <v>1</v>
      </c>
      <c r="C4" s="16" t="s">
        <v>79</v>
      </c>
      <c r="D4" s="17" t="s">
        <v>132</v>
      </c>
      <c r="E4" s="15" t="s">
        <v>130</v>
      </c>
      <c r="F4" s="15" t="s">
        <v>59</v>
      </c>
      <c r="G4" s="15" t="s">
        <v>21</v>
      </c>
      <c r="H4" s="18"/>
      <c r="I4" s="15"/>
      <c r="J4" s="15" t="n">
        <v>0</v>
      </c>
      <c r="K4" s="18" t="str">
        <f aca="false">IF(J4&gt;=5,"Done",IF(H4="","",H4+CHOOSE(J4+1,1,3,7,21,60)))</f>
        <v/>
      </c>
      <c r="L4" s="16"/>
    </row>
    <row r="5" customFormat="false" ht="15" hidden="false" customHeight="false" outlineLevel="0" collapsed="false">
      <c r="A5" s="15" t="n">
        <v>4</v>
      </c>
      <c r="B5" s="15" t="n">
        <v>1</v>
      </c>
      <c r="C5" s="16" t="s">
        <v>79</v>
      </c>
      <c r="D5" s="17" t="s">
        <v>133</v>
      </c>
      <c r="E5" s="15" t="s">
        <v>130</v>
      </c>
      <c r="F5" s="15" t="s">
        <v>59</v>
      </c>
      <c r="G5" s="15" t="s">
        <v>21</v>
      </c>
      <c r="H5" s="18"/>
      <c r="I5" s="15"/>
      <c r="J5" s="15" t="n">
        <v>0</v>
      </c>
      <c r="K5" s="18" t="str">
        <f aca="false">IF(J5&gt;=5,"Done",IF(H5="","",H5+CHOOSE(J5+1,1,3,7,21,60)))</f>
        <v/>
      </c>
      <c r="L5" s="16"/>
    </row>
    <row r="6" customFormat="false" ht="15" hidden="false" customHeight="false" outlineLevel="0" collapsed="false">
      <c r="A6" s="15" t="n">
        <v>5</v>
      </c>
      <c r="B6" s="15" t="n">
        <v>1</v>
      </c>
      <c r="C6" s="16" t="s">
        <v>79</v>
      </c>
      <c r="D6" s="17" t="s">
        <v>134</v>
      </c>
      <c r="E6" s="15" t="s">
        <v>130</v>
      </c>
      <c r="F6" s="15" t="s">
        <v>59</v>
      </c>
      <c r="G6" s="15" t="s">
        <v>21</v>
      </c>
      <c r="H6" s="18"/>
      <c r="I6" s="15"/>
      <c r="J6" s="15" t="n">
        <v>0</v>
      </c>
      <c r="K6" s="18" t="str">
        <f aca="false">IF(J6&gt;=5,"Done",IF(H6="","",H6+CHOOSE(J6+1,1,3,7,21,60)))</f>
        <v/>
      </c>
      <c r="L6" s="16"/>
    </row>
    <row r="7" customFormat="false" ht="15" hidden="false" customHeight="false" outlineLevel="0" collapsed="false">
      <c r="A7" s="15" t="n">
        <v>6</v>
      </c>
      <c r="B7" s="15" t="n">
        <v>1</v>
      </c>
      <c r="C7" s="16" t="s">
        <v>79</v>
      </c>
      <c r="D7" s="17" t="s">
        <v>135</v>
      </c>
      <c r="E7" s="15" t="s">
        <v>130</v>
      </c>
      <c r="F7" s="15" t="s">
        <v>59</v>
      </c>
      <c r="G7" s="15" t="s">
        <v>21</v>
      </c>
      <c r="H7" s="18"/>
      <c r="I7" s="15"/>
      <c r="J7" s="15" t="n">
        <v>0</v>
      </c>
      <c r="K7" s="18" t="str">
        <f aca="false">IF(J7&gt;=5,"Done",IF(H7="","",H7+CHOOSE(J7+1,1,3,7,21,60)))</f>
        <v/>
      </c>
      <c r="L7" s="16"/>
    </row>
    <row r="8" customFormat="false" ht="15" hidden="false" customHeight="false" outlineLevel="0" collapsed="false">
      <c r="A8" s="15" t="n">
        <v>7</v>
      </c>
      <c r="B8" s="15" t="n">
        <v>1</v>
      </c>
      <c r="C8" s="16" t="s">
        <v>79</v>
      </c>
      <c r="D8" s="17" t="s">
        <v>136</v>
      </c>
      <c r="E8" s="15" t="s">
        <v>130</v>
      </c>
      <c r="F8" s="15" t="s">
        <v>61</v>
      </c>
      <c r="G8" s="15" t="s">
        <v>21</v>
      </c>
      <c r="H8" s="18"/>
      <c r="I8" s="15"/>
      <c r="J8" s="15" t="n">
        <v>0</v>
      </c>
      <c r="K8" s="18" t="str">
        <f aca="false">IF(J8&gt;=5,"Done",IF(H8="","",H8+CHOOSE(J8+1,1,3,7,21,60)))</f>
        <v/>
      </c>
      <c r="L8" s="16"/>
    </row>
    <row r="9" customFormat="false" ht="15" hidden="false" customHeight="false" outlineLevel="0" collapsed="false">
      <c r="A9" s="15" t="n">
        <v>8</v>
      </c>
      <c r="B9" s="15" t="n">
        <v>1</v>
      </c>
      <c r="C9" s="16" t="s">
        <v>79</v>
      </c>
      <c r="D9" s="17" t="s">
        <v>137</v>
      </c>
      <c r="E9" s="15" t="s">
        <v>130</v>
      </c>
      <c r="F9" s="15" t="s">
        <v>61</v>
      </c>
      <c r="G9" s="15" t="s">
        <v>21</v>
      </c>
      <c r="H9" s="18"/>
      <c r="I9" s="15"/>
      <c r="J9" s="15" t="n">
        <v>0</v>
      </c>
      <c r="K9" s="18" t="str">
        <f aca="false">IF(J9&gt;=5,"Done",IF(H9="","",H9+CHOOSE(J9+1,1,3,7,21,60)))</f>
        <v/>
      </c>
      <c r="L9" s="16"/>
    </row>
    <row r="10" customFormat="false" ht="15" hidden="false" customHeight="false" outlineLevel="0" collapsed="false">
      <c r="A10" s="15" t="n">
        <v>9</v>
      </c>
      <c r="B10" s="15" t="n">
        <v>1</v>
      </c>
      <c r="C10" s="16" t="s">
        <v>79</v>
      </c>
      <c r="D10" s="17" t="s">
        <v>138</v>
      </c>
      <c r="E10" s="15" t="s">
        <v>130</v>
      </c>
      <c r="F10" s="15" t="s">
        <v>61</v>
      </c>
      <c r="G10" s="15" t="s">
        <v>21</v>
      </c>
      <c r="H10" s="18"/>
      <c r="I10" s="15"/>
      <c r="J10" s="15" t="n">
        <v>0</v>
      </c>
      <c r="K10" s="18" t="str">
        <f aca="false">IF(J10&gt;=5,"Done",IF(H10="","",H10+CHOOSE(J10+1,1,3,7,21,60)))</f>
        <v/>
      </c>
      <c r="L10" s="16"/>
    </row>
    <row r="11" customFormat="false" ht="15" hidden="false" customHeight="false" outlineLevel="0" collapsed="false">
      <c r="A11" s="15" t="n">
        <v>10</v>
      </c>
      <c r="B11" s="15" t="n">
        <v>1</v>
      </c>
      <c r="C11" s="16" t="s">
        <v>79</v>
      </c>
      <c r="D11" s="17" t="s">
        <v>139</v>
      </c>
      <c r="E11" s="15" t="s">
        <v>130</v>
      </c>
      <c r="F11" s="15" t="s">
        <v>61</v>
      </c>
      <c r="G11" s="15" t="s">
        <v>21</v>
      </c>
      <c r="H11" s="18"/>
      <c r="I11" s="15"/>
      <c r="J11" s="15" t="n">
        <v>0</v>
      </c>
      <c r="K11" s="18" t="str">
        <f aca="false">IF(J11&gt;=5,"Done",IF(H11="","",H11+CHOOSE(J11+1,1,3,7,21,60)))</f>
        <v/>
      </c>
      <c r="L11" s="16"/>
    </row>
    <row r="12" customFormat="false" ht="15" hidden="false" customHeight="false" outlineLevel="0" collapsed="false">
      <c r="A12" s="15" t="n">
        <v>11</v>
      </c>
      <c r="B12" s="15" t="n">
        <v>1</v>
      </c>
      <c r="C12" s="16" t="s">
        <v>79</v>
      </c>
      <c r="D12" s="17" t="s">
        <v>140</v>
      </c>
      <c r="E12" s="15" t="s">
        <v>130</v>
      </c>
      <c r="F12" s="15" t="s">
        <v>61</v>
      </c>
      <c r="G12" s="15" t="s">
        <v>21</v>
      </c>
      <c r="H12" s="18"/>
      <c r="I12" s="15"/>
      <c r="J12" s="15" t="n">
        <v>0</v>
      </c>
      <c r="K12" s="18" t="str">
        <f aca="false">IF(J12&gt;=5,"Done",IF(H12="","",H12+CHOOSE(J12+1,1,3,7,21,60)))</f>
        <v/>
      </c>
      <c r="L12" s="16"/>
    </row>
    <row r="13" customFormat="false" ht="15" hidden="false" customHeight="false" outlineLevel="0" collapsed="false">
      <c r="A13" s="15" t="n">
        <v>12</v>
      </c>
      <c r="B13" s="15" t="n">
        <v>1</v>
      </c>
      <c r="C13" s="16" t="s">
        <v>79</v>
      </c>
      <c r="D13" s="17" t="s">
        <v>141</v>
      </c>
      <c r="E13" s="15" t="s">
        <v>130</v>
      </c>
      <c r="F13" s="15" t="s">
        <v>61</v>
      </c>
      <c r="G13" s="15" t="s">
        <v>21</v>
      </c>
      <c r="H13" s="18"/>
      <c r="I13" s="15"/>
      <c r="J13" s="15" t="n">
        <v>0</v>
      </c>
      <c r="K13" s="18" t="str">
        <f aca="false">IF(J13&gt;=5,"Done",IF(H13="","",H13+CHOOSE(J13+1,1,3,7,21,60)))</f>
        <v/>
      </c>
      <c r="L13" s="16"/>
    </row>
    <row r="14" customFormat="false" ht="15" hidden="false" customHeight="false" outlineLevel="0" collapsed="false">
      <c r="A14" s="15" t="n">
        <v>13</v>
      </c>
      <c r="B14" s="15" t="n">
        <v>1</v>
      </c>
      <c r="C14" s="16" t="s">
        <v>79</v>
      </c>
      <c r="D14" s="17" t="s">
        <v>142</v>
      </c>
      <c r="E14" s="15" t="s">
        <v>130</v>
      </c>
      <c r="F14" s="15" t="s">
        <v>61</v>
      </c>
      <c r="G14" s="15" t="s">
        <v>21</v>
      </c>
      <c r="H14" s="18"/>
      <c r="I14" s="15"/>
      <c r="J14" s="15" t="n">
        <v>0</v>
      </c>
      <c r="K14" s="18" t="str">
        <f aca="false">IF(J14&gt;=5,"Done",IF(H14="","",H14+CHOOSE(J14+1,1,3,7,21,60)))</f>
        <v/>
      </c>
      <c r="L14" s="16"/>
    </row>
    <row r="15" customFormat="false" ht="15" hidden="false" customHeight="false" outlineLevel="0" collapsed="false">
      <c r="A15" s="15" t="n">
        <v>14</v>
      </c>
      <c r="B15" s="15" t="n">
        <v>2</v>
      </c>
      <c r="C15" s="16" t="s">
        <v>82</v>
      </c>
      <c r="D15" s="17" t="s">
        <v>143</v>
      </c>
      <c r="E15" s="15" t="s">
        <v>130</v>
      </c>
      <c r="F15" s="15" t="s">
        <v>59</v>
      </c>
      <c r="G15" s="15" t="s">
        <v>21</v>
      </c>
      <c r="H15" s="18"/>
      <c r="I15" s="15"/>
      <c r="J15" s="15" t="n">
        <v>0</v>
      </c>
      <c r="K15" s="18" t="str">
        <f aca="false">IF(J15&gt;=5,"Done",IF(H15="","",H15+CHOOSE(J15+1,1,3,7,21,60)))</f>
        <v/>
      </c>
      <c r="L15" s="16"/>
    </row>
    <row r="16" customFormat="false" ht="15" hidden="false" customHeight="false" outlineLevel="0" collapsed="false">
      <c r="A16" s="15" t="n">
        <v>15</v>
      </c>
      <c r="B16" s="15" t="n">
        <v>2</v>
      </c>
      <c r="C16" s="16" t="s">
        <v>82</v>
      </c>
      <c r="D16" s="17" t="s">
        <v>144</v>
      </c>
      <c r="E16" s="15" t="s">
        <v>130</v>
      </c>
      <c r="F16" s="15" t="s">
        <v>59</v>
      </c>
      <c r="G16" s="15" t="s">
        <v>21</v>
      </c>
      <c r="H16" s="18"/>
      <c r="I16" s="15"/>
      <c r="J16" s="15" t="n">
        <v>0</v>
      </c>
      <c r="K16" s="18" t="str">
        <f aca="false">IF(J16&gt;=5,"Done",IF(H16="","",H16+CHOOSE(J16+1,1,3,7,21,60)))</f>
        <v/>
      </c>
      <c r="L16" s="16"/>
    </row>
    <row r="17" customFormat="false" ht="15" hidden="false" customHeight="false" outlineLevel="0" collapsed="false">
      <c r="A17" s="15" t="n">
        <v>16</v>
      </c>
      <c r="B17" s="15" t="n">
        <v>2</v>
      </c>
      <c r="C17" s="16" t="s">
        <v>82</v>
      </c>
      <c r="D17" s="17" t="s">
        <v>145</v>
      </c>
      <c r="E17" s="15" t="s">
        <v>130</v>
      </c>
      <c r="F17" s="15" t="s">
        <v>59</v>
      </c>
      <c r="G17" s="15" t="s">
        <v>21</v>
      </c>
      <c r="H17" s="18"/>
      <c r="I17" s="15"/>
      <c r="J17" s="15" t="n">
        <v>0</v>
      </c>
      <c r="K17" s="18" t="str">
        <f aca="false">IF(J17&gt;=5,"Done",IF(H17="","",H17+CHOOSE(J17+1,1,3,7,21,60)))</f>
        <v/>
      </c>
      <c r="L17" s="16"/>
    </row>
    <row r="18" customFormat="false" ht="15" hidden="false" customHeight="false" outlineLevel="0" collapsed="false">
      <c r="A18" s="15" t="n">
        <v>17</v>
      </c>
      <c r="B18" s="15" t="n">
        <v>2</v>
      </c>
      <c r="C18" s="16" t="s">
        <v>82</v>
      </c>
      <c r="D18" s="17" t="s">
        <v>146</v>
      </c>
      <c r="E18" s="15" t="s">
        <v>130</v>
      </c>
      <c r="F18" s="15" t="s">
        <v>59</v>
      </c>
      <c r="G18" s="15" t="s">
        <v>21</v>
      </c>
      <c r="H18" s="18"/>
      <c r="I18" s="15"/>
      <c r="J18" s="15" t="n">
        <v>0</v>
      </c>
      <c r="K18" s="18" t="str">
        <f aca="false">IF(J18&gt;=5,"Done",IF(H18="","",H18+CHOOSE(J18+1,1,3,7,21,60)))</f>
        <v/>
      </c>
      <c r="L18" s="16"/>
    </row>
    <row r="19" customFormat="false" ht="15" hidden="false" customHeight="false" outlineLevel="0" collapsed="false">
      <c r="A19" s="15" t="n">
        <v>18</v>
      </c>
      <c r="B19" s="15" t="n">
        <v>2</v>
      </c>
      <c r="C19" s="16" t="s">
        <v>82</v>
      </c>
      <c r="D19" s="17" t="s">
        <v>147</v>
      </c>
      <c r="E19" s="15" t="s">
        <v>130</v>
      </c>
      <c r="F19" s="15" t="s">
        <v>59</v>
      </c>
      <c r="G19" s="15" t="s">
        <v>21</v>
      </c>
      <c r="H19" s="18"/>
      <c r="I19" s="15"/>
      <c r="J19" s="15" t="n">
        <v>0</v>
      </c>
      <c r="K19" s="18" t="str">
        <f aca="false">IF(J19&gt;=5,"Done",IF(H19="","",H19+CHOOSE(J19+1,1,3,7,21,60)))</f>
        <v/>
      </c>
      <c r="L19" s="16"/>
    </row>
    <row r="20" customFormat="false" ht="15" hidden="false" customHeight="false" outlineLevel="0" collapsed="false">
      <c r="A20" s="15" t="n">
        <v>19</v>
      </c>
      <c r="B20" s="15" t="n">
        <v>2</v>
      </c>
      <c r="C20" s="16" t="s">
        <v>82</v>
      </c>
      <c r="D20" s="17" t="s">
        <v>148</v>
      </c>
      <c r="E20" s="15" t="s">
        <v>130</v>
      </c>
      <c r="F20" s="15" t="s">
        <v>59</v>
      </c>
      <c r="G20" s="15" t="s">
        <v>21</v>
      </c>
      <c r="H20" s="18"/>
      <c r="I20" s="15"/>
      <c r="J20" s="15" t="n">
        <v>0</v>
      </c>
      <c r="K20" s="18" t="str">
        <f aca="false">IF(J20&gt;=5,"Done",IF(H20="","",H20+CHOOSE(J20+1,1,3,7,21,60)))</f>
        <v/>
      </c>
      <c r="L20" s="16"/>
    </row>
    <row r="21" customFormat="false" ht="15" hidden="false" customHeight="false" outlineLevel="0" collapsed="false">
      <c r="A21" s="15" t="n">
        <v>20</v>
      </c>
      <c r="B21" s="15" t="n">
        <v>2</v>
      </c>
      <c r="C21" s="16" t="s">
        <v>82</v>
      </c>
      <c r="D21" s="17" t="s">
        <v>149</v>
      </c>
      <c r="E21" s="15" t="s">
        <v>130</v>
      </c>
      <c r="F21" s="15" t="s">
        <v>61</v>
      </c>
      <c r="G21" s="15" t="s">
        <v>21</v>
      </c>
      <c r="H21" s="18"/>
      <c r="I21" s="15"/>
      <c r="J21" s="15" t="n">
        <v>0</v>
      </c>
      <c r="K21" s="18" t="str">
        <f aca="false">IF(J21&gt;=5,"Done",IF(H21="","",H21+CHOOSE(J21+1,1,3,7,21,60)))</f>
        <v/>
      </c>
      <c r="L21" s="16"/>
    </row>
    <row r="22" customFormat="false" ht="15" hidden="false" customHeight="false" outlineLevel="0" collapsed="false">
      <c r="A22" s="15" t="n">
        <v>21</v>
      </c>
      <c r="B22" s="15" t="n">
        <v>2</v>
      </c>
      <c r="C22" s="16" t="s">
        <v>82</v>
      </c>
      <c r="D22" s="17" t="s">
        <v>150</v>
      </c>
      <c r="E22" s="15" t="s">
        <v>130</v>
      </c>
      <c r="F22" s="15" t="s">
        <v>61</v>
      </c>
      <c r="G22" s="15" t="s">
        <v>21</v>
      </c>
      <c r="H22" s="18"/>
      <c r="I22" s="15"/>
      <c r="J22" s="15" t="n">
        <v>0</v>
      </c>
      <c r="K22" s="18" t="str">
        <f aca="false">IF(J22&gt;=5,"Done",IF(H22="","",H22+CHOOSE(J22+1,1,3,7,21,60)))</f>
        <v/>
      </c>
      <c r="L22" s="16"/>
    </row>
    <row r="23" customFormat="false" ht="15" hidden="false" customHeight="false" outlineLevel="0" collapsed="false">
      <c r="A23" s="15" t="n">
        <v>22</v>
      </c>
      <c r="B23" s="15" t="n">
        <v>2</v>
      </c>
      <c r="C23" s="16" t="s">
        <v>82</v>
      </c>
      <c r="D23" s="17" t="s">
        <v>151</v>
      </c>
      <c r="E23" s="15" t="s">
        <v>130</v>
      </c>
      <c r="F23" s="15" t="s">
        <v>61</v>
      </c>
      <c r="G23" s="15" t="s">
        <v>21</v>
      </c>
      <c r="H23" s="18"/>
      <c r="I23" s="15"/>
      <c r="J23" s="15" t="n">
        <v>0</v>
      </c>
      <c r="K23" s="18" t="str">
        <f aca="false">IF(J23&gt;=5,"Done",IF(H23="","",H23+CHOOSE(J23+1,1,3,7,21,60)))</f>
        <v/>
      </c>
      <c r="L23" s="16"/>
    </row>
    <row r="24" customFormat="false" ht="15" hidden="false" customHeight="false" outlineLevel="0" collapsed="false">
      <c r="A24" s="15" t="n">
        <v>23</v>
      </c>
      <c r="B24" s="15" t="n">
        <v>2</v>
      </c>
      <c r="C24" s="16" t="s">
        <v>82</v>
      </c>
      <c r="D24" s="17" t="s">
        <v>152</v>
      </c>
      <c r="E24" s="15" t="s">
        <v>130</v>
      </c>
      <c r="F24" s="15" t="s">
        <v>61</v>
      </c>
      <c r="G24" s="15" t="s">
        <v>21</v>
      </c>
      <c r="H24" s="18"/>
      <c r="I24" s="15"/>
      <c r="J24" s="15" t="n">
        <v>0</v>
      </c>
      <c r="K24" s="18" t="str">
        <f aca="false">IF(J24&gt;=5,"Done",IF(H24="","",H24+CHOOSE(J24+1,1,3,7,21,60)))</f>
        <v/>
      </c>
      <c r="L24" s="16"/>
    </row>
    <row r="25" customFormat="false" ht="15" hidden="false" customHeight="false" outlineLevel="0" collapsed="false">
      <c r="A25" s="15" t="n">
        <v>24</v>
      </c>
      <c r="B25" s="15" t="n">
        <v>2</v>
      </c>
      <c r="C25" s="16" t="s">
        <v>82</v>
      </c>
      <c r="D25" s="17" t="s">
        <v>153</v>
      </c>
      <c r="E25" s="15" t="s">
        <v>130</v>
      </c>
      <c r="F25" s="15" t="s">
        <v>61</v>
      </c>
      <c r="G25" s="15" t="s">
        <v>21</v>
      </c>
      <c r="H25" s="18"/>
      <c r="I25" s="15"/>
      <c r="J25" s="15" t="n">
        <v>0</v>
      </c>
      <c r="K25" s="18" t="str">
        <f aca="false">IF(J25&gt;=5,"Done",IF(H25="","",H25+CHOOSE(J25+1,1,3,7,21,60)))</f>
        <v/>
      </c>
      <c r="L25" s="16"/>
    </row>
    <row r="26" customFormat="false" ht="15" hidden="false" customHeight="false" outlineLevel="0" collapsed="false">
      <c r="A26" s="15" t="n">
        <v>25</v>
      </c>
      <c r="B26" s="15" t="n">
        <v>2</v>
      </c>
      <c r="C26" s="16" t="s">
        <v>82</v>
      </c>
      <c r="D26" s="17" t="s">
        <v>154</v>
      </c>
      <c r="E26" s="15" t="s">
        <v>155</v>
      </c>
      <c r="F26" s="15" t="s">
        <v>61</v>
      </c>
      <c r="G26" s="15" t="s">
        <v>21</v>
      </c>
      <c r="H26" s="18"/>
      <c r="I26" s="15"/>
      <c r="J26" s="15" t="n">
        <v>0</v>
      </c>
      <c r="K26" s="18" t="str">
        <f aca="false">IF(J26&gt;=5,"Done",IF(H26="","",H26+CHOOSE(J26+1,1,3,7,21,60)))</f>
        <v/>
      </c>
      <c r="L26" s="16"/>
    </row>
    <row r="27" customFormat="false" ht="15" hidden="false" customHeight="false" outlineLevel="0" collapsed="false">
      <c r="A27" s="15" t="n">
        <v>26</v>
      </c>
      <c r="B27" s="15" t="n">
        <v>2</v>
      </c>
      <c r="C27" s="16" t="s">
        <v>82</v>
      </c>
      <c r="D27" s="17" t="s">
        <v>156</v>
      </c>
      <c r="E27" s="15" t="s">
        <v>155</v>
      </c>
      <c r="F27" s="15" t="s">
        <v>61</v>
      </c>
      <c r="G27" s="15" t="s">
        <v>21</v>
      </c>
      <c r="H27" s="18"/>
      <c r="I27" s="15"/>
      <c r="J27" s="15" t="n">
        <v>0</v>
      </c>
      <c r="K27" s="18" t="str">
        <f aca="false">IF(J27&gt;=5,"Done",IF(H27="","",H27+CHOOSE(J27+1,1,3,7,21,60)))</f>
        <v/>
      </c>
      <c r="L27" s="16"/>
    </row>
    <row r="28" customFormat="false" ht="15" hidden="false" customHeight="false" outlineLevel="0" collapsed="false">
      <c r="A28" s="15" t="n">
        <v>27</v>
      </c>
      <c r="B28" s="15" t="n">
        <v>3</v>
      </c>
      <c r="C28" s="16" t="s">
        <v>84</v>
      </c>
      <c r="D28" s="17" t="s">
        <v>157</v>
      </c>
      <c r="E28" s="15" t="s">
        <v>130</v>
      </c>
      <c r="F28" s="15" t="s">
        <v>59</v>
      </c>
      <c r="G28" s="15" t="s">
        <v>21</v>
      </c>
      <c r="H28" s="18"/>
      <c r="I28" s="15"/>
      <c r="J28" s="15" t="n">
        <v>0</v>
      </c>
      <c r="K28" s="18" t="str">
        <f aca="false">IF(J28&gt;=5,"Done",IF(H28="","",H28+CHOOSE(J28+1,1,3,7,21,60)))</f>
        <v/>
      </c>
      <c r="L28" s="16"/>
    </row>
    <row r="29" customFormat="false" ht="15" hidden="false" customHeight="false" outlineLevel="0" collapsed="false">
      <c r="A29" s="15" t="n">
        <v>28</v>
      </c>
      <c r="B29" s="15" t="n">
        <v>3</v>
      </c>
      <c r="C29" s="16" t="s">
        <v>84</v>
      </c>
      <c r="D29" s="17" t="s">
        <v>158</v>
      </c>
      <c r="E29" s="15" t="s">
        <v>130</v>
      </c>
      <c r="F29" s="15" t="s">
        <v>59</v>
      </c>
      <c r="G29" s="15" t="s">
        <v>21</v>
      </c>
      <c r="H29" s="18"/>
      <c r="I29" s="15"/>
      <c r="J29" s="15" t="n">
        <v>0</v>
      </c>
      <c r="K29" s="18" t="str">
        <f aca="false">IF(J29&gt;=5,"Done",IF(H29="","",H29+CHOOSE(J29+1,1,3,7,21,60)))</f>
        <v/>
      </c>
      <c r="L29" s="16"/>
    </row>
    <row r="30" customFormat="false" ht="15" hidden="false" customHeight="false" outlineLevel="0" collapsed="false">
      <c r="A30" s="15" t="n">
        <v>29</v>
      </c>
      <c r="B30" s="15" t="n">
        <v>3</v>
      </c>
      <c r="C30" s="16" t="s">
        <v>84</v>
      </c>
      <c r="D30" s="17" t="s">
        <v>159</v>
      </c>
      <c r="E30" s="15" t="s">
        <v>130</v>
      </c>
      <c r="F30" s="15" t="s">
        <v>59</v>
      </c>
      <c r="G30" s="15" t="s">
        <v>21</v>
      </c>
      <c r="H30" s="18"/>
      <c r="I30" s="15"/>
      <c r="J30" s="15" t="n">
        <v>0</v>
      </c>
      <c r="K30" s="18" t="str">
        <f aca="false">IF(J30&gt;=5,"Done",IF(H30="","",H30+CHOOSE(J30+1,1,3,7,21,60)))</f>
        <v/>
      </c>
      <c r="L30" s="16"/>
    </row>
    <row r="31" customFormat="false" ht="15" hidden="false" customHeight="false" outlineLevel="0" collapsed="false">
      <c r="A31" s="15" t="n">
        <v>30</v>
      </c>
      <c r="B31" s="15" t="n">
        <v>3</v>
      </c>
      <c r="C31" s="16" t="s">
        <v>84</v>
      </c>
      <c r="D31" s="17" t="s">
        <v>160</v>
      </c>
      <c r="E31" s="15" t="s">
        <v>130</v>
      </c>
      <c r="F31" s="15" t="s">
        <v>59</v>
      </c>
      <c r="G31" s="15" t="s">
        <v>21</v>
      </c>
      <c r="H31" s="18"/>
      <c r="I31" s="15"/>
      <c r="J31" s="15" t="n">
        <v>0</v>
      </c>
      <c r="K31" s="18" t="str">
        <f aca="false">IF(J31&gt;=5,"Done",IF(H31="","",H31+CHOOSE(J31+1,1,3,7,21,60)))</f>
        <v/>
      </c>
      <c r="L31" s="16"/>
    </row>
    <row r="32" customFormat="false" ht="15" hidden="false" customHeight="false" outlineLevel="0" collapsed="false">
      <c r="A32" s="15" t="n">
        <v>31</v>
      </c>
      <c r="B32" s="15" t="n">
        <v>3</v>
      </c>
      <c r="C32" s="16" t="s">
        <v>84</v>
      </c>
      <c r="D32" s="17" t="s">
        <v>161</v>
      </c>
      <c r="E32" s="15" t="s">
        <v>130</v>
      </c>
      <c r="F32" s="15" t="s">
        <v>59</v>
      </c>
      <c r="G32" s="15" t="s">
        <v>21</v>
      </c>
      <c r="H32" s="18"/>
      <c r="I32" s="15"/>
      <c r="J32" s="15" t="n">
        <v>0</v>
      </c>
      <c r="K32" s="18" t="str">
        <f aca="false">IF(J32&gt;=5,"Done",IF(H32="","",H32+CHOOSE(J32+1,1,3,7,21,60)))</f>
        <v/>
      </c>
      <c r="L32" s="16"/>
    </row>
    <row r="33" customFormat="false" ht="15" hidden="false" customHeight="false" outlineLevel="0" collapsed="false">
      <c r="A33" s="15" t="n">
        <v>32</v>
      </c>
      <c r="B33" s="15" t="n">
        <v>3</v>
      </c>
      <c r="C33" s="16" t="s">
        <v>84</v>
      </c>
      <c r="D33" s="17" t="s">
        <v>162</v>
      </c>
      <c r="E33" s="15" t="s">
        <v>130</v>
      </c>
      <c r="F33" s="15" t="s">
        <v>61</v>
      </c>
      <c r="G33" s="15" t="s">
        <v>21</v>
      </c>
      <c r="H33" s="18"/>
      <c r="I33" s="15"/>
      <c r="J33" s="15" t="n">
        <v>0</v>
      </c>
      <c r="K33" s="18" t="str">
        <f aca="false">IF(J33&gt;=5,"Done",IF(H33="","",H33+CHOOSE(J33+1,1,3,7,21,60)))</f>
        <v/>
      </c>
      <c r="L33" s="16"/>
    </row>
    <row r="34" customFormat="false" ht="15" hidden="false" customHeight="false" outlineLevel="0" collapsed="false">
      <c r="A34" s="15" t="n">
        <v>33</v>
      </c>
      <c r="B34" s="15" t="n">
        <v>3</v>
      </c>
      <c r="C34" s="16" t="s">
        <v>84</v>
      </c>
      <c r="D34" s="17" t="s">
        <v>163</v>
      </c>
      <c r="E34" s="15" t="s">
        <v>130</v>
      </c>
      <c r="F34" s="15" t="s">
        <v>61</v>
      </c>
      <c r="G34" s="15" t="s">
        <v>21</v>
      </c>
      <c r="H34" s="18"/>
      <c r="I34" s="15"/>
      <c r="J34" s="15" t="n">
        <v>0</v>
      </c>
      <c r="K34" s="18" t="str">
        <f aca="false">IF(J34&gt;=5,"Done",IF(H34="","",H34+CHOOSE(J34+1,1,3,7,21,60)))</f>
        <v/>
      </c>
      <c r="L34" s="16"/>
    </row>
    <row r="35" customFormat="false" ht="15" hidden="false" customHeight="false" outlineLevel="0" collapsed="false">
      <c r="A35" s="15" t="n">
        <v>34</v>
      </c>
      <c r="B35" s="15" t="n">
        <v>3</v>
      </c>
      <c r="C35" s="16" t="s">
        <v>84</v>
      </c>
      <c r="D35" s="17" t="s">
        <v>164</v>
      </c>
      <c r="E35" s="15" t="s">
        <v>130</v>
      </c>
      <c r="F35" s="15" t="s">
        <v>61</v>
      </c>
      <c r="G35" s="15" t="s">
        <v>21</v>
      </c>
      <c r="H35" s="18"/>
      <c r="I35" s="15"/>
      <c r="J35" s="15" t="n">
        <v>0</v>
      </c>
      <c r="K35" s="18" t="str">
        <f aca="false">IF(J35&gt;=5,"Done",IF(H35="","",H35+CHOOSE(J35+1,1,3,7,21,60)))</f>
        <v/>
      </c>
      <c r="L35" s="16"/>
    </row>
    <row r="36" customFormat="false" ht="15" hidden="false" customHeight="false" outlineLevel="0" collapsed="false">
      <c r="A36" s="15" t="n">
        <v>35</v>
      </c>
      <c r="B36" s="15" t="n">
        <v>3</v>
      </c>
      <c r="C36" s="16" t="s">
        <v>84</v>
      </c>
      <c r="D36" s="17" t="s">
        <v>165</v>
      </c>
      <c r="E36" s="15" t="s">
        <v>130</v>
      </c>
      <c r="F36" s="15" t="s">
        <v>61</v>
      </c>
      <c r="G36" s="15" t="s">
        <v>21</v>
      </c>
      <c r="H36" s="18"/>
      <c r="I36" s="15"/>
      <c r="J36" s="15" t="n">
        <v>0</v>
      </c>
      <c r="K36" s="18" t="str">
        <f aca="false">IF(J36&gt;=5,"Done",IF(H36="","",H36+CHOOSE(J36+1,1,3,7,21,60)))</f>
        <v/>
      </c>
      <c r="L36" s="16"/>
    </row>
    <row r="37" customFormat="false" ht="15" hidden="false" customHeight="false" outlineLevel="0" collapsed="false">
      <c r="A37" s="15" t="n">
        <v>36</v>
      </c>
      <c r="B37" s="15" t="n">
        <v>3</v>
      </c>
      <c r="C37" s="16" t="s">
        <v>84</v>
      </c>
      <c r="D37" s="17" t="s">
        <v>166</v>
      </c>
      <c r="E37" s="15" t="s">
        <v>130</v>
      </c>
      <c r="F37" s="15" t="s">
        <v>61</v>
      </c>
      <c r="G37" s="15" t="s">
        <v>21</v>
      </c>
      <c r="H37" s="18"/>
      <c r="I37" s="15"/>
      <c r="J37" s="15" t="n">
        <v>0</v>
      </c>
      <c r="K37" s="18" t="str">
        <f aca="false">IF(J37&gt;=5,"Done",IF(H37="","",H37+CHOOSE(J37+1,1,3,7,21,60)))</f>
        <v/>
      </c>
      <c r="L37" s="16"/>
    </row>
    <row r="38" customFormat="false" ht="15" hidden="false" customHeight="false" outlineLevel="0" collapsed="false">
      <c r="A38" s="15" t="n">
        <v>37</v>
      </c>
      <c r="B38" s="15" t="n">
        <v>3</v>
      </c>
      <c r="C38" s="16" t="s">
        <v>84</v>
      </c>
      <c r="D38" s="17" t="s">
        <v>167</v>
      </c>
      <c r="E38" s="15" t="s">
        <v>130</v>
      </c>
      <c r="F38" s="15" t="s">
        <v>61</v>
      </c>
      <c r="G38" s="15" t="s">
        <v>21</v>
      </c>
      <c r="H38" s="18"/>
      <c r="I38" s="15"/>
      <c r="J38" s="15" t="n">
        <v>0</v>
      </c>
      <c r="K38" s="18" t="str">
        <f aca="false">IF(J38&gt;=5,"Done",IF(H38="","",H38+CHOOSE(J38+1,1,3,7,21,60)))</f>
        <v/>
      </c>
      <c r="L38" s="16"/>
    </row>
    <row r="39" customFormat="false" ht="15" hidden="false" customHeight="false" outlineLevel="0" collapsed="false">
      <c r="A39" s="15" t="n">
        <v>38</v>
      </c>
      <c r="B39" s="15" t="n">
        <v>3</v>
      </c>
      <c r="C39" s="16" t="s">
        <v>84</v>
      </c>
      <c r="D39" s="17" t="s">
        <v>168</v>
      </c>
      <c r="E39" s="15" t="s">
        <v>155</v>
      </c>
      <c r="F39" s="15" t="s">
        <v>61</v>
      </c>
      <c r="G39" s="15" t="s">
        <v>21</v>
      </c>
      <c r="H39" s="18"/>
      <c r="I39" s="15"/>
      <c r="J39" s="15" t="n">
        <v>0</v>
      </c>
      <c r="K39" s="18" t="str">
        <f aca="false">IF(J39&gt;=5,"Done",IF(H39="","",H39+CHOOSE(J39+1,1,3,7,21,60)))</f>
        <v/>
      </c>
      <c r="L39" s="16"/>
    </row>
    <row r="40" customFormat="false" ht="15" hidden="false" customHeight="false" outlineLevel="0" collapsed="false">
      <c r="A40" s="15" t="n">
        <v>39</v>
      </c>
      <c r="B40" s="15" t="n">
        <v>4</v>
      </c>
      <c r="C40" s="16" t="s">
        <v>86</v>
      </c>
      <c r="D40" s="17" t="s">
        <v>169</v>
      </c>
      <c r="E40" s="15" t="s">
        <v>130</v>
      </c>
      <c r="F40" s="15" t="s">
        <v>59</v>
      </c>
      <c r="G40" s="15" t="s">
        <v>21</v>
      </c>
      <c r="H40" s="18"/>
      <c r="I40" s="15"/>
      <c r="J40" s="15" t="n">
        <v>0</v>
      </c>
      <c r="K40" s="18" t="str">
        <f aca="false">IF(J40&gt;=5,"Done",IF(H40="","",H40+CHOOSE(J40+1,1,3,7,21,60)))</f>
        <v/>
      </c>
      <c r="L40" s="16"/>
    </row>
    <row r="41" customFormat="false" ht="15" hidden="false" customHeight="false" outlineLevel="0" collapsed="false">
      <c r="A41" s="15" t="n">
        <v>40</v>
      </c>
      <c r="B41" s="15" t="n">
        <v>4</v>
      </c>
      <c r="C41" s="16" t="s">
        <v>86</v>
      </c>
      <c r="D41" s="17" t="s">
        <v>170</v>
      </c>
      <c r="E41" s="15" t="s">
        <v>130</v>
      </c>
      <c r="F41" s="15" t="s">
        <v>59</v>
      </c>
      <c r="G41" s="15" t="s">
        <v>21</v>
      </c>
      <c r="H41" s="18"/>
      <c r="I41" s="15"/>
      <c r="J41" s="15" t="n">
        <v>0</v>
      </c>
      <c r="K41" s="18" t="str">
        <f aca="false">IF(J41&gt;=5,"Done",IF(H41="","",H41+CHOOSE(J41+1,1,3,7,21,60)))</f>
        <v/>
      </c>
      <c r="L41" s="16"/>
    </row>
    <row r="42" customFormat="false" ht="15" hidden="false" customHeight="false" outlineLevel="0" collapsed="false">
      <c r="A42" s="15" t="n">
        <v>41</v>
      </c>
      <c r="B42" s="15" t="n">
        <v>4</v>
      </c>
      <c r="C42" s="16" t="s">
        <v>86</v>
      </c>
      <c r="D42" s="17" t="s">
        <v>171</v>
      </c>
      <c r="E42" s="15" t="s">
        <v>130</v>
      </c>
      <c r="F42" s="15" t="s">
        <v>59</v>
      </c>
      <c r="G42" s="15" t="s">
        <v>21</v>
      </c>
      <c r="H42" s="18"/>
      <c r="I42" s="15"/>
      <c r="J42" s="15" t="n">
        <v>0</v>
      </c>
      <c r="K42" s="18" t="str">
        <f aca="false">IF(J42&gt;=5,"Done",IF(H42="","",H42+CHOOSE(J42+1,1,3,7,21,60)))</f>
        <v/>
      </c>
      <c r="L42" s="16"/>
    </row>
    <row r="43" customFormat="false" ht="15" hidden="false" customHeight="false" outlineLevel="0" collapsed="false">
      <c r="A43" s="15" t="n">
        <v>42</v>
      </c>
      <c r="B43" s="15" t="n">
        <v>4</v>
      </c>
      <c r="C43" s="16" t="s">
        <v>86</v>
      </c>
      <c r="D43" s="17" t="s">
        <v>172</v>
      </c>
      <c r="E43" s="15" t="s">
        <v>130</v>
      </c>
      <c r="F43" s="15" t="s">
        <v>59</v>
      </c>
      <c r="G43" s="15" t="s">
        <v>21</v>
      </c>
      <c r="H43" s="18"/>
      <c r="I43" s="15"/>
      <c r="J43" s="15" t="n">
        <v>0</v>
      </c>
      <c r="K43" s="18" t="str">
        <f aca="false">IF(J43&gt;=5,"Done",IF(H43="","",H43+CHOOSE(J43+1,1,3,7,21,60)))</f>
        <v/>
      </c>
      <c r="L43" s="16"/>
    </row>
    <row r="44" customFormat="false" ht="15" hidden="false" customHeight="false" outlineLevel="0" collapsed="false">
      <c r="A44" s="15" t="n">
        <v>43</v>
      </c>
      <c r="B44" s="15" t="n">
        <v>4</v>
      </c>
      <c r="C44" s="16" t="s">
        <v>86</v>
      </c>
      <c r="D44" s="17" t="s">
        <v>173</v>
      </c>
      <c r="E44" s="15" t="s">
        <v>130</v>
      </c>
      <c r="F44" s="15" t="s">
        <v>59</v>
      </c>
      <c r="G44" s="15" t="s">
        <v>21</v>
      </c>
      <c r="H44" s="18"/>
      <c r="I44" s="15"/>
      <c r="J44" s="15" t="n">
        <v>0</v>
      </c>
      <c r="K44" s="18" t="str">
        <f aca="false">IF(J44&gt;=5,"Done",IF(H44="","",H44+CHOOSE(J44+1,1,3,7,21,60)))</f>
        <v/>
      </c>
      <c r="L44" s="16"/>
    </row>
    <row r="45" customFormat="false" ht="15" hidden="false" customHeight="false" outlineLevel="0" collapsed="false">
      <c r="A45" s="15" t="n">
        <v>44</v>
      </c>
      <c r="B45" s="15" t="n">
        <v>4</v>
      </c>
      <c r="C45" s="16" t="s">
        <v>86</v>
      </c>
      <c r="D45" s="17" t="s">
        <v>174</v>
      </c>
      <c r="E45" s="15" t="s">
        <v>130</v>
      </c>
      <c r="F45" s="15" t="s">
        <v>59</v>
      </c>
      <c r="G45" s="15" t="s">
        <v>21</v>
      </c>
      <c r="H45" s="18"/>
      <c r="I45" s="15"/>
      <c r="J45" s="15" t="n">
        <v>0</v>
      </c>
      <c r="K45" s="18" t="str">
        <f aca="false">IF(J45&gt;=5,"Done",IF(H45="","",H45+CHOOSE(J45+1,1,3,7,21,60)))</f>
        <v/>
      </c>
      <c r="L45" s="16"/>
    </row>
    <row r="46" customFormat="false" ht="15" hidden="false" customHeight="false" outlineLevel="0" collapsed="false">
      <c r="A46" s="15" t="n">
        <v>45</v>
      </c>
      <c r="B46" s="15" t="n">
        <v>4</v>
      </c>
      <c r="C46" s="16" t="s">
        <v>86</v>
      </c>
      <c r="D46" s="17" t="s">
        <v>175</v>
      </c>
      <c r="E46" s="15" t="s">
        <v>130</v>
      </c>
      <c r="F46" s="15" t="s">
        <v>61</v>
      </c>
      <c r="G46" s="15" t="s">
        <v>21</v>
      </c>
      <c r="H46" s="18"/>
      <c r="I46" s="15"/>
      <c r="J46" s="15" t="n">
        <v>0</v>
      </c>
      <c r="K46" s="18" t="str">
        <f aca="false">IF(J46&gt;=5,"Done",IF(H46="","",H46+CHOOSE(J46+1,1,3,7,21,60)))</f>
        <v/>
      </c>
      <c r="L46" s="16"/>
    </row>
    <row r="47" customFormat="false" ht="15" hidden="false" customHeight="false" outlineLevel="0" collapsed="false">
      <c r="A47" s="15" t="n">
        <v>46</v>
      </c>
      <c r="B47" s="15" t="n">
        <v>4</v>
      </c>
      <c r="C47" s="16" t="s">
        <v>86</v>
      </c>
      <c r="D47" s="17" t="s">
        <v>176</v>
      </c>
      <c r="E47" s="15" t="s">
        <v>130</v>
      </c>
      <c r="F47" s="15" t="s">
        <v>61</v>
      </c>
      <c r="G47" s="15" t="s">
        <v>21</v>
      </c>
      <c r="H47" s="18"/>
      <c r="I47" s="15"/>
      <c r="J47" s="15" t="n">
        <v>0</v>
      </c>
      <c r="K47" s="18" t="str">
        <f aca="false">IF(J47&gt;=5,"Done",IF(H47="","",H47+CHOOSE(J47+1,1,3,7,21,60)))</f>
        <v/>
      </c>
      <c r="L47" s="16"/>
    </row>
    <row r="48" customFormat="false" ht="15" hidden="false" customHeight="false" outlineLevel="0" collapsed="false">
      <c r="A48" s="15" t="n">
        <v>47</v>
      </c>
      <c r="B48" s="15" t="n">
        <v>4</v>
      </c>
      <c r="C48" s="16" t="s">
        <v>86</v>
      </c>
      <c r="D48" s="17" t="s">
        <v>177</v>
      </c>
      <c r="E48" s="15" t="s">
        <v>130</v>
      </c>
      <c r="F48" s="15" t="s">
        <v>61</v>
      </c>
      <c r="G48" s="15" t="s">
        <v>21</v>
      </c>
      <c r="H48" s="18"/>
      <c r="I48" s="15"/>
      <c r="J48" s="15" t="n">
        <v>0</v>
      </c>
      <c r="K48" s="18" t="str">
        <f aca="false">IF(J48&gt;=5,"Done",IF(H48="","",H48+CHOOSE(J48+1,1,3,7,21,60)))</f>
        <v/>
      </c>
      <c r="L48" s="16"/>
    </row>
    <row r="49" customFormat="false" ht="15" hidden="false" customHeight="false" outlineLevel="0" collapsed="false">
      <c r="A49" s="15" t="n">
        <v>48</v>
      </c>
      <c r="B49" s="15" t="n">
        <v>4</v>
      </c>
      <c r="C49" s="16" t="s">
        <v>86</v>
      </c>
      <c r="D49" s="17" t="s">
        <v>178</v>
      </c>
      <c r="E49" s="15" t="s">
        <v>130</v>
      </c>
      <c r="F49" s="15" t="s">
        <v>61</v>
      </c>
      <c r="G49" s="15" t="s">
        <v>21</v>
      </c>
      <c r="H49" s="18"/>
      <c r="I49" s="15"/>
      <c r="J49" s="15" t="n">
        <v>0</v>
      </c>
      <c r="K49" s="18" t="str">
        <f aca="false">IF(J49&gt;=5,"Done",IF(H49="","",H49+CHOOSE(J49+1,1,3,7,21,60)))</f>
        <v/>
      </c>
      <c r="L49" s="16"/>
    </row>
    <row r="50" customFormat="false" ht="15" hidden="false" customHeight="false" outlineLevel="0" collapsed="false">
      <c r="A50" s="15" t="n">
        <v>49</v>
      </c>
      <c r="B50" s="15" t="n">
        <v>4</v>
      </c>
      <c r="C50" s="16" t="s">
        <v>86</v>
      </c>
      <c r="D50" s="17" t="s">
        <v>179</v>
      </c>
      <c r="E50" s="15" t="s">
        <v>130</v>
      </c>
      <c r="F50" s="15" t="s">
        <v>61</v>
      </c>
      <c r="G50" s="15" t="s">
        <v>21</v>
      </c>
      <c r="H50" s="18"/>
      <c r="I50" s="15"/>
      <c r="J50" s="15" t="n">
        <v>0</v>
      </c>
      <c r="K50" s="18" t="str">
        <f aca="false">IF(J50&gt;=5,"Done",IF(H50="","",H50+CHOOSE(J50+1,1,3,7,21,60)))</f>
        <v/>
      </c>
      <c r="L50" s="16"/>
    </row>
    <row r="51" customFormat="false" ht="15" hidden="false" customHeight="false" outlineLevel="0" collapsed="false">
      <c r="A51" s="15" t="n">
        <v>50</v>
      </c>
      <c r="B51" s="15" t="n">
        <v>4</v>
      </c>
      <c r="C51" s="16" t="s">
        <v>86</v>
      </c>
      <c r="D51" s="17" t="s">
        <v>180</v>
      </c>
      <c r="E51" s="15" t="s">
        <v>130</v>
      </c>
      <c r="F51" s="15" t="s">
        <v>61</v>
      </c>
      <c r="G51" s="15" t="s">
        <v>21</v>
      </c>
      <c r="H51" s="18"/>
      <c r="I51" s="15"/>
      <c r="J51" s="15" t="n">
        <v>0</v>
      </c>
      <c r="K51" s="18" t="str">
        <f aca="false">IF(J51&gt;=5,"Done",IF(H51="","",H51+CHOOSE(J51+1,1,3,7,21,60)))</f>
        <v/>
      </c>
      <c r="L51" s="16"/>
    </row>
    <row r="52" customFormat="false" ht="15" hidden="false" customHeight="false" outlineLevel="0" collapsed="false">
      <c r="A52" s="15" t="n">
        <v>51</v>
      </c>
      <c r="B52" s="15" t="n">
        <v>4</v>
      </c>
      <c r="C52" s="16" t="s">
        <v>86</v>
      </c>
      <c r="D52" s="17" t="s">
        <v>181</v>
      </c>
      <c r="E52" s="15" t="s">
        <v>130</v>
      </c>
      <c r="F52" s="15" t="s">
        <v>61</v>
      </c>
      <c r="G52" s="15" t="s">
        <v>21</v>
      </c>
      <c r="H52" s="18"/>
      <c r="I52" s="15"/>
      <c r="J52" s="15" t="n">
        <v>0</v>
      </c>
      <c r="K52" s="18" t="str">
        <f aca="false">IF(J52&gt;=5,"Done",IF(H52="","",H52+CHOOSE(J52+1,1,3,7,21,60)))</f>
        <v/>
      </c>
      <c r="L52" s="16"/>
    </row>
    <row r="53" customFormat="false" ht="15" hidden="false" customHeight="false" outlineLevel="0" collapsed="false">
      <c r="A53" s="15" t="n">
        <v>52</v>
      </c>
      <c r="B53" s="15" t="n">
        <v>5</v>
      </c>
      <c r="C53" s="16" t="s">
        <v>88</v>
      </c>
      <c r="D53" s="17" t="s">
        <v>182</v>
      </c>
      <c r="E53" s="15" t="s">
        <v>130</v>
      </c>
      <c r="F53" s="15" t="s">
        <v>59</v>
      </c>
      <c r="G53" s="15" t="s">
        <v>21</v>
      </c>
      <c r="H53" s="18"/>
      <c r="I53" s="15"/>
      <c r="J53" s="15" t="n">
        <v>0</v>
      </c>
      <c r="K53" s="18" t="str">
        <f aca="false">IF(J53&gt;=5,"Done",IF(H53="","",H53+CHOOSE(J53+1,1,3,7,21,60)))</f>
        <v/>
      </c>
      <c r="L53" s="16"/>
    </row>
    <row r="54" customFormat="false" ht="15" hidden="false" customHeight="false" outlineLevel="0" collapsed="false">
      <c r="A54" s="15" t="n">
        <v>53</v>
      </c>
      <c r="B54" s="15" t="n">
        <v>5</v>
      </c>
      <c r="C54" s="16" t="s">
        <v>88</v>
      </c>
      <c r="D54" s="17" t="s">
        <v>183</v>
      </c>
      <c r="E54" s="15" t="s">
        <v>130</v>
      </c>
      <c r="F54" s="15" t="s">
        <v>59</v>
      </c>
      <c r="G54" s="15" t="s">
        <v>21</v>
      </c>
      <c r="H54" s="18"/>
      <c r="I54" s="15"/>
      <c r="J54" s="15" t="n">
        <v>0</v>
      </c>
      <c r="K54" s="18" t="str">
        <f aca="false">IF(J54&gt;=5,"Done",IF(H54="","",H54+CHOOSE(J54+1,1,3,7,21,60)))</f>
        <v/>
      </c>
      <c r="L54" s="16"/>
    </row>
    <row r="55" customFormat="false" ht="15" hidden="false" customHeight="false" outlineLevel="0" collapsed="false">
      <c r="A55" s="15" t="n">
        <v>54</v>
      </c>
      <c r="B55" s="15" t="n">
        <v>5</v>
      </c>
      <c r="C55" s="16" t="s">
        <v>88</v>
      </c>
      <c r="D55" s="17" t="s">
        <v>184</v>
      </c>
      <c r="E55" s="15" t="s">
        <v>130</v>
      </c>
      <c r="F55" s="15" t="s">
        <v>59</v>
      </c>
      <c r="G55" s="15" t="s">
        <v>21</v>
      </c>
      <c r="H55" s="18"/>
      <c r="I55" s="15"/>
      <c r="J55" s="15" t="n">
        <v>0</v>
      </c>
      <c r="K55" s="18" t="str">
        <f aca="false">IF(J55&gt;=5,"Done",IF(H55="","",H55+CHOOSE(J55+1,1,3,7,21,60)))</f>
        <v/>
      </c>
      <c r="L55" s="16"/>
    </row>
    <row r="56" customFormat="false" ht="15" hidden="false" customHeight="false" outlineLevel="0" collapsed="false">
      <c r="A56" s="15" t="n">
        <v>55</v>
      </c>
      <c r="B56" s="15" t="n">
        <v>5</v>
      </c>
      <c r="C56" s="16" t="s">
        <v>88</v>
      </c>
      <c r="D56" s="17" t="s">
        <v>185</v>
      </c>
      <c r="E56" s="15" t="s">
        <v>130</v>
      </c>
      <c r="F56" s="15" t="s">
        <v>59</v>
      </c>
      <c r="G56" s="15" t="s">
        <v>21</v>
      </c>
      <c r="H56" s="18"/>
      <c r="I56" s="15"/>
      <c r="J56" s="15" t="n">
        <v>0</v>
      </c>
      <c r="K56" s="18" t="str">
        <f aca="false">IF(J56&gt;=5,"Done",IF(H56="","",H56+CHOOSE(J56+1,1,3,7,21,60)))</f>
        <v/>
      </c>
      <c r="L56" s="16"/>
    </row>
    <row r="57" customFormat="false" ht="15" hidden="false" customHeight="false" outlineLevel="0" collapsed="false">
      <c r="A57" s="15" t="n">
        <v>56</v>
      </c>
      <c r="B57" s="15" t="n">
        <v>5</v>
      </c>
      <c r="C57" s="16" t="s">
        <v>88</v>
      </c>
      <c r="D57" s="17" t="s">
        <v>186</v>
      </c>
      <c r="E57" s="15" t="s">
        <v>130</v>
      </c>
      <c r="F57" s="15" t="s">
        <v>59</v>
      </c>
      <c r="G57" s="15" t="s">
        <v>21</v>
      </c>
      <c r="H57" s="18"/>
      <c r="I57" s="15"/>
      <c r="J57" s="15" t="n">
        <v>0</v>
      </c>
      <c r="K57" s="18" t="str">
        <f aca="false">IF(J57&gt;=5,"Done",IF(H57="","",H57+CHOOSE(J57+1,1,3,7,21,60)))</f>
        <v/>
      </c>
      <c r="L57" s="16"/>
    </row>
    <row r="58" customFormat="false" ht="15" hidden="false" customHeight="false" outlineLevel="0" collapsed="false">
      <c r="A58" s="15" t="n">
        <v>57</v>
      </c>
      <c r="B58" s="15" t="n">
        <v>5</v>
      </c>
      <c r="C58" s="16" t="s">
        <v>88</v>
      </c>
      <c r="D58" s="17" t="s">
        <v>187</v>
      </c>
      <c r="E58" s="15" t="s">
        <v>130</v>
      </c>
      <c r="F58" s="15" t="s">
        <v>61</v>
      </c>
      <c r="G58" s="15" t="s">
        <v>21</v>
      </c>
      <c r="H58" s="18"/>
      <c r="I58" s="15"/>
      <c r="J58" s="15" t="n">
        <v>0</v>
      </c>
      <c r="K58" s="18" t="str">
        <f aca="false">IF(J58&gt;=5,"Done",IF(H58="","",H58+CHOOSE(J58+1,1,3,7,21,60)))</f>
        <v/>
      </c>
      <c r="L58" s="16"/>
    </row>
    <row r="59" customFormat="false" ht="15" hidden="false" customHeight="false" outlineLevel="0" collapsed="false">
      <c r="A59" s="15" t="n">
        <v>58</v>
      </c>
      <c r="B59" s="15" t="n">
        <v>5</v>
      </c>
      <c r="C59" s="16" t="s">
        <v>88</v>
      </c>
      <c r="D59" s="17" t="s">
        <v>188</v>
      </c>
      <c r="E59" s="15" t="s">
        <v>130</v>
      </c>
      <c r="F59" s="15" t="s">
        <v>61</v>
      </c>
      <c r="G59" s="15" t="s">
        <v>21</v>
      </c>
      <c r="H59" s="18"/>
      <c r="I59" s="15"/>
      <c r="J59" s="15" t="n">
        <v>0</v>
      </c>
      <c r="K59" s="18" t="str">
        <f aca="false">IF(J59&gt;=5,"Done",IF(H59="","",H59+CHOOSE(J59+1,1,3,7,21,60)))</f>
        <v/>
      </c>
      <c r="L59" s="16"/>
    </row>
    <row r="60" customFormat="false" ht="15" hidden="false" customHeight="false" outlineLevel="0" collapsed="false">
      <c r="A60" s="15" t="n">
        <v>59</v>
      </c>
      <c r="B60" s="15" t="n">
        <v>5</v>
      </c>
      <c r="C60" s="16" t="s">
        <v>88</v>
      </c>
      <c r="D60" s="17" t="s">
        <v>189</v>
      </c>
      <c r="E60" s="15" t="s">
        <v>130</v>
      </c>
      <c r="F60" s="15" t="s">
        <v>61</v>
      </c>
      <c r="G60" s="15" t="s">
        <v>21</v>
      </c>
      <c r="H60" s="18"/>
      <c r="I60" s="15"/>
      <c r="J60" s="15" t="n">
        <v>0</v>
      </c>
      <c r="K60" s="18" t="str">
        <f aca="false">IF(J60&gt;=5,"Done",IF(H60="","",H60+CHOOSE(J60+1,1,3,7,21,60)))</f>
        <v/>
      </c>
      <c r="L60" s="16"/>
    </row>
    <row r="61" customFormat="false" ht="15" hidden="false" customHeight="false" outlineLevel="0" collapsed="false">
      <c r="A61" s="15" t="n">
        <v>60</v>
      </c>
      <c r="B61" s="15" t="n">
        <v>5</v>
      </c>
      <c r="C61" s="16" t="s">
        <v>88</v>
      </c>
      <c r="D61" s="17" t="s">
        <v>190</v>
      </c>
      <c r="E61" s="15" t="s">
        <v>130</v>
      </c>
      <c r="F61" s="15" t="s">
        <v>61</v>
      </c>
      <c r="G61" s="15" t="s">
        <v>21</v>
      </c>
      <c r="H61" s="18"/>
      <c r="I61" s="15"/>
      <c r="J61" s="15" t="n">
        <v>0</v>
      </c>
      <c r="K61" s="18" t="str">
        <f aca="false">IF(J61&gt;=5,"Done",IF(H61="","",H61+CHOOSE(J61+1,1,3,7,21,60)))</f>
        <v/>
      </c>
      <c r="L61" s="16"/>
    </row>
    <row r="62" customFormat="false" ht="15" hidden="false" customHeight="false" outlineLevel="0" collapsed="false">
      <c r="A62" s="15" t="n">
        <v>61</v>
      </c>
      <c r="B62" s="15" t="n">
        <v>5</v>
      </c>
      <c r="C62" s="16" t="s">
        <v>88</v>
      </c>
      <c r="D62" s="17" t="s">
        <v>191</v>
      </c>
      <c r="E62" s="15" t="s">
        <v>130</v>
      </c>
      <c r="F62" s="15" t="s">
        <v>61</v>
      </c>
      <c r="G62" s="15" t="s">
        <v>21</v>
      </c>
      <c r="H62" s="18"/>
      <c r="I62" s="15"/>
      <c r="J62" s="15" t="n">
        <v>0</v>
      </c>
      <c r="K62" s="18" t="str">
        <f aca="false">IF(J62&gt;=5,"Done",IF(H62="","",H62+CHOOSE(J62+1,1,3,7,21,60)))</f>
        <v/>
      </c>
      <c r="L62" s="16"/>
    </row>
    <row r="63" customFormat="false" ht="15" hidden="false" customHeight="false" outlineLevel="0" collapsed="false">
      <c r="A63" s="15" t="n">
        <v>62</v>
      </c>
      <c r="B63" s="15" t="n">
        <v>5</v>
      </c>
      <c r="C63" s="16" t="s">
        <v>88</v>
      </c>
      <c r="D63" s="17" t="s">
        <v>192</v>
      </c>
      <c r="E63" s="15" t="s">
        <v>130</v>
      </c>
      <c r="F63" s="15" t="s">
        <v>61</v>
      </c>
      <c r="G63" s="15" t="s">
        <v>21</v>
      </c>
      <c r="H63" s="18"/>
      <c r="I63" s="15"/>
      <c r="J63" s="15" t="n">
        <v>0</v>
      </c>
      <c r="K63" s="18" t="str">
        <f aca="false">IF(J63&gt;=5,"Done",IF(H63="","",H63+CHOOSE(J63+1,1,3,7,21,60)))</f>
        <v/>
      </c>
      <c r="L63" s="16"/>
    </row>
    <row r="64" customFormat="false" ht="15" hidden="false" customHeight="false" outlineLevel="0" collapsed="false">
      <c r="A64" s="15" t="n">
        <v>63</v>
      </c>
      <c r="B64" s="15" t="n">
        <v>5</v>
      </c>
      <c r="C64" s="16" t="s">
        <v>88</v>
      </c>
      <c r="D64" s="17" t="s">
        <v>193</v>
      </c>
      <c r="E64" s="15" t="s">
        <v>130</v>
      </c>
      <c r="F64" s="15" t="s">
        <v>61</v>
      </c>
      <c r="G64" s="15" t="s">
        <v>21</v>
      </c>
      <c r="H64" s="18"/>
      <c r="I64" s="15"/>
      <c r="J64" s="15" t="n">
        <v>0</v>
      </c>
      <c r="K64" s="18" t="str">
        <f aca="false">IF(J64&gt;=5,"Done",IF(H64="","",H64+CHOOSE(J64+1,1,3,7,21,60)))</f>
        <v/>
      </c>
      <c r="L64" s="16"/>
    </row>
    <row r="65" customFormat="false" ht="15" hidden="false" customHeight="false" outlineLevel="0" collapsed="false">
      <c r="A65" s="15" t="n">
        <v>64</v>
      </c>
      <c r="B65" s="15" t="n">
        <v>6</v>
      </c>
      <c r="C65" s="16" t="s">
        <v>92</v>
      </c>
      <c r="D65" s="17" t="s">
        <v>194</v>
      </c>
      <c r="E65" s="15" t="s">
        <v>130</v>
      </c>
      <c r="F65" s="15" t="s">
        <v>59</v>
      </c>
      <c r="G65" s="15" t="s">
        <v>21</v>
      </c>
      <c r="H65" s="18"/>
      <c r="I65" s="15"/>
      <c r="J65" s="15" t="n">
        <v>0</v>
      </c>
      <c r="K65" s="18" t="str">
        <f aca="false">IF(J65&gt;=5,"Done",IF(H65="","",H65+CHOOSE(J65+1,1,3,7,21,60)))</f>
        <v/>
      </c>
      <c r="L65" s="16"/>
    </row>
    <row r="66" customFormat="false" ht="15" hidden="false" customHeight="false" outlineLevel="0" collapsed="false">
      <c r="A66" s="15" t="n">
        <v>65</v>
      </c>
      <c r="B66" s="15" t="n">
        <v>6</v>
      </c>
      <c r="C66" s="16" t="s">
        <v>92</v>
      </c>
      <c r="D66" s="17" t="s">
        <v>195</v>
      </c>
      <c r="E66" s="15" t="s">
        <v>130</v>
      </c>
      <c r="F66" s="15" t="s">
        <v>59</v>
      </c>
      <c r="G66" s="15" t="s">
        <v>21</v>
      </c>
      <c r="H66" s="18"/>
      <c r="I66" s="15"/>
      <c r="J66" s="15" t="n">
        <v>0</v>
      </c>
      <c r="K66" s="18" t="str">
        <f aca="false">IF(J66&gt;=5,"Done",IF(H66="","",H66+CHOOSE(J66+1,1,3,7,21,60)))</f>
        <v/>
      </c>
      <c r="L66" s="16"/>
    </row>
    <row r="67" customFormat="false" ht="15" hidden="false" customHeight="false" outlineLevel="0" collapsed="false">
      <c r="A67" s="15" t="n">
        <v>66</v>
      </c>
      <c r="B67" s="15" t="n">
        <v>6</v>
      </c>
      <c r="C67" s="16" t="s">
        <v>92</v>
      </c>
      <c r="D67" s="17" t="s">
        <v>196</v>
      </c>
      <c r="E67" s="15" t="s">
        <v>130</v>
      </c>
      <c r="F67" s="15" t="s">
        <v>59</v>
      </c>
      <c r="G67" s="15" t="s">
        <v>21</v>
      </c>
      <c r="H67" s="18"/>
      <c r="I67" s="15"/>
      <c r="J67" s="15" t="n">
        <v>0</v>
      </c>
      <c r="K67" s="18" t="str">
        <f aca="false">IF(J67&gt;=5,"Done",IF(H67="","",H67+CHOOSE(J67+1,1,3,7,21,60)))</f>
        <v/>
      </c>
      <c r="L67" s="16"/>
    </row>
    <row r="68" customFormat="false" ht="15" hidden="false" customHeight="false" outlineLevel="0" collapsed="false">
      <c r="A68" s="15" t="n">
        <v>67</v>
      </c>
      <c r="B68" s="15" t="n">
        <v>6</v>
      </c>
      <c r="C68" s="16" t="s">
        <v>92</v>
      </c>
      <c r="D68" s="17" t="s">
        <v>197</v>
      </c>
      <c r="E68" s="15" t="s">
        <v>130</v>
      </c>
      <c r="F68" s="15" t="s">
        <v>59</v>
      </c>
      <c r="G68" s="15" t="s">
        <v>21</v>
      </c>
      <c r="H68" s="18"/>
      <c r="I68" s="15"/>
      <c r="J68" s="15" t="n">
        <v>0</v>
      </c>
      <c r="K68" s="18" t="str">
        <f aca="false">IF(J68&gt;=5,"Done",IF(H68="","",H68+CHOOSE(J68+1,1,3,7,21,60)))</f>
        <v/>
      </c>
      <c r="L68" s="16"/>
    </row>
    <row r="69" customFormat="false" ht="15" hidden="false" customHeight="false" outlineLevel="0" collapsed="false">
      <c r="A69" s="15" t="n">
        <v>68</v>
      </c>
      <c r="B69" s="15" t="n">
        <v>6</v>
      </c>
      <c r="C69" s="16" t="s">
        <v>92</v>
      </c>
      <c r="D69" s="17" t="s">
        <v>198</v>
      </c>
      <c r="E69" s="15" t="s">
        <v>130</v>
      </c>
      <c r="F69" s="15" t="s">
        <v>59</v>
      </c>
      <c r="G69" s="15" t="s">
        <v>21</v>
      </c>
      <c r="H69" s="18"/>
      <c r="I69" s="15"/>
      <c r="J69" s="15" t="n">
        <v>0</v>
      </c>
      <c r="K69" s="18" t="str">
        <f aca="false">IF(J69&gt;=5,"Done",IF(H69="","",H69+CHOOSE(J69+1,1,3,7,21,60)))</f>
        <v/>
      </c>
      <c r="L69" s="16"/>
    </row>
    <row r="70" customFormat="false" ht="15" hidden="false" customHeight="false" outlineLevel="0" collapsed="false">
      <c r="A70" s="15" t="n">
        <v>69</v>
      </c>
      <c r="B70" s="15" t="n">
        <v>6</v>
      </c>
      <c r="C70" s="16" t="s">
        <v>92</v>
      </c>
      <c r="D70" s="17" t="s">
        <v>199</v>
      </c>
      <c r="E70" s="15" t="s">
        <v>130</v>
      </c>
      <c r="F70" s="15" t="s">
        <v>61</v>
      </c>
      <c r="G70" s="15" t="s">
        <v>21</v>
      </c>
      <c r="H70" s="18"/>
      <c r="I70" s="15"/>
      <c r="J70" s="15" t="n">
        <v>0</v>
      </c>
      <c r="K70" s="18" t="str">
        <f aca="false">IF(J70&gt;=5,"Done",IF(H70="","",H70+CHOOSE(J70+1,1,3,7,21,60)))</f>
        <v/>
      </c>
      <c r="L70" s="16"/>
    </row>
    <row r="71" customFormat="false" ht="15" hidden="false" customHeight="false" outlineLevel="0" collapsed="false">
      <c r="A71" s="15" t="n">
        <v>70</v>
      </c>
      <c r="B71" s="15" t="n">
        <v>6</v>
      </c>
      <c r="C71" s="16" t="s">
        <v>92</v>
      </c>
      <c r="D71" s="17" t="s">
        <v>200</v>
      </c>
      <c r="E71" s="15" t="s">
        <v>130</v>
      </c>
      <c r="F71" s="15" t="s">
        <v>61</v>
      </c>
      <c r="G71" s="15" t="s">
        <v>21</v>
      </c>
      <c r="H71" s="18"/>
      <c r="I71" s="15"/>
      <c r="J71" s="15" t="n">
        <v>0</v>
      </c>
      <c r="K71" s="18" t="str">
        <f aca="false">IF(J71&gt;=5,"Done",IF(H71="","",H71+CHOOSE(J71+1,1,3,7,21,60)))</f>
        <v/>
      </c>
      <c r="L71" s="16"/>
    </row>
    <row r="72" customFormat="false" ht="15" hidden="false" customHeight="false" outlineLevel="0" collapsed="false">
      <c r="A72" s="15" t="n">
        <v>71</v>
      </c>
      <c r="B72" s="15" t="n">
        <v>6</v>
      </c>
      <c r="C72" s="16" t="s">
        <v>92</v>
      </c>
      <c r="D72" s="17" t="s">
        <v>201</v>
      </c>
      <c r="E72" s="15" t="s">
        <v>130</v>
      </c>
      <c r="F72" s="15" t="s">
        <v>61</v>
      </c>
      <c r="G72" s="15" t="s">
        <v>21</v>
      </c>
      <c r="H72" s="18"/>
      <c r="I72" s="15"/>
      <c r="J72" s="15" t="n">
        <v>0</v>
      </c>
      <c r="K72" s="18" t="str">
        <f aca="false">IF(J72&gt;=5,"Done",IF(H72="","",H72+CHOOSE(J72+1,1,3,7,21,60)))</f>
        <v/>
      </c>
      <c r="L72" s="16"/>
    </row>
    <row r="73" customFormat="false" ht="15" hidden="false" customHeight="false" outlineLevel="0" collapsed="false">
      <c r="A73" s="15" t="n">
        <v>72</v>
      </c>
      <c r="B73" s="15" t="n">
        <v>6</v>
      </c>
      <c r="C73" s="16" t="s">
        <v>92</v>
      </c>
      <c r="D73" s="17" t="s">
        <v>202</v>
      </c>
      <c r="E73" s="15" t="s">
        <v>130</v>
      </c>
      <c r="F73" s="15" t="s">
        <v>61</v>
      </c>
      <c r="G73" s="15" t="s">
        <v>21</v>
      </c>
      <c r="H73" s="18"/>
      <c r="I73" s="15"/>
      <c r="J73" s="15" t="n">
        <v>0</v>
      </c>
      <c r="K73" s="18" t="str">
        <f aca="false">IF(J73&gt;=5,"Done",IF(H73="","",H73+CHOOSE(J73+1,1,3,7,21,60)))</f>
        <v/>
      </c>
      <c r="L73" s="16"/>
    </row>
    <row r="74" customFormat="false" ht="15" hidden="false" customHeight="false" outlineLevel="0" collapsed="false">
      <c r="A74" s="15" t="n">
        <v>73</v>
      </c>
      <c r="B74" s="15" t="n">
        <v>6</v>
      </c>
      <c r="C74" s="16" t="s">
        <v>92</v>
      </c>
      <c r="D74" s="17" t="s">
        <v>203</v>
      </c>
      <c r="E74" s="15" t="s">
        <v>130</v>
      </c>
      <c r="F74" s="15" t="s">
        <v>61</v>
      </c>
      <c r="G74" s="15" t="s">
        <v>21</v>
      </c>
      <c r="H74" s="18"/>
      <c r="I74" s="15"/>
      <c r="J74" s="15" t="n">
        <v>0</v>
      </c>
      <c r="K74" s="18" t="str">
        <f aca="false">IF(J74&gt;=5,"Done",IF(H74="","",H74+CHOOSE(J74+1,1,3,7,21,60)))</f>
        <v/>
      </c>
      <c r="L74" s="16"/>
    </row>
    <row r="75" customFormat="false" ht="15" hidden="false" customHeight="false" outlineLevel="0" collapsed="false">
      <c r="A75" s="15" t="n">
        <v>74</v>
      </c>
      <c r="B75" s="15" t="n">
        <v>6</v>
      </c>
      <c r="C75" s="16" t="s">
        <v>92</v>
      </c>
      <c r="D75" s="17" t="s">
        <v>204</v>
      </c>
      <c r="E75" s="15" t="s">
        <v>130</v>
      </c>
      <c r="F75" s="15" t="s">
        <v>61</v>
      </c>
      <c r="G75" s="15" t="s">
        <v>21</v>
      </c>
      <c r="H75" s="18"/>
      <c r="I75" s="15"/>
      <c r="J75" s="15" t="n">
        <v>0</v>
      </c>
      <c r="K75" s="18" t="str">
        <f aca="false">IF(J75&gt;=5,"Done",IF(H75="","",H75+CHOOSE(J75+1,1,3,7,21,60)))</f>
        <v/>
      </c>
      <c r="L75" s="16"/>
    </row>
    <row r="76" customFormat="false" ht="15" hidden="false" customHeight="false" outlineLevel="0" collapsed="false">
      <c r="A76" s="15" t="n">
        <v>75</v>
      </c>
      <c r="B76" s="15" t="n">
        <v>6</v>
      </c>
      <c r="C76" s="16" t="s">
        <v>92</v>
      </c>
      <c r="D76" s="17" t="s">
        <v>205</v>
      </c>
      <c r="E76" s="15" t="s">
        <v>130</v>
      </c>
      <c r="F76" s="15" t="s">
        <v>61</v>
      </c>
      <c r="G76" s="15" t="s">
        <v>21</v>
      </c>
      <c r="H76" s="18"/>
      <c r="I76" s="15"/>
      <c r="J76" s="15" t="n">
        <v>0</v>
      </c>
      <c r="K76" s="18" t="str">
        <f aca="false">IF(J76&gt;=5,"Done",IF(H76="","",H76+CHOOSE(J76+1,1,3,7,21,60)))</f>
        <v/>
      </c>
      <c r="L76" s="16"/>
    </row>
    <row r="77" customFormat="false" ht="15" hidden="false" customHeight="false" outlineLevel="0" collapsed="false">
      <c r="A77" s="15" t="n">
        <v>76</v>
      </c>
      <c r="B77" s="15" t="n">
        <v>7</v>
      </c>
      <c r="C77" s="16" t="s">
        <v>94</v>
      </c>
      <c r="D77" s="17" t="s">
        <v>206</v>
      </c>
      <c r="E77" s="15" t="s">
        <v>130</v>
      </c>
      <c r="F77" s="15" t="s">
        <v>59</v>
      </c>
      <c r="G77" s="15" t="s">
        <v>21</v>
      </c>
      <c r="H77" s="18"/>
      <c r="I77" s="15"/>
      <c r="J77" s="15" t="n">
        <v>0</v>
      </c>
      <c r="K77" s="18" t="str">
        <f aca="false">IF(J77&gt;=5,"Done",IF(H77="","",H77+CHOOSE(J77+1,1,3,7,21,60)))</f>
        <v/>
      </c>
      <c r="L77" s="16"/>
    </row>
    <row r="78" customFormat="false" ht="15" hidden="false" customHeight="false" outlineLevel="0" collapsed="false">
      <c r="A78" s="15" t="n">
        <v>77</v>
      </c>
      <c r="B78" s="15" t="n">
        <v>7</v>
      </c>
      <c r="C78" s="16" t="s">
        <v>94</v>
      </c>
      <c r="D78" s="17" t="s">
        <v>207</v>
      </c>
      <c r="E78" s="15" t="s">
        <v>130</v>
      </c>
      <c r="F78" s="15" t="s">
        <v>59</v>
      </c>
      <c r="G78" s="15" t="s">
        <v>21</v>
      </c>
      <c r="H78" s="18"/>
      <c r="I78" s="15"/>
      <c r="J78" s="15" t="n">
        <v>0</v>
      </c>
      <c r="K78" s="18" t="str">
        <f aca="false">IF(J78&gt;=5,"Done",IF(H78="","",H78+CHOOSE(J78+1,1,3,7,21,60)))</f>
        <v/>
      </c>
      <c r="L78" s="16"/>
    </row>
    <row r="79" customFormat="false" ht="15" hidden="false" customHeight="false" outlineLevel="0" collapsed="false">
      <c r="A79" s="15" t="n">
        <v>78</v>
      </c>
      <c r="B79" s="15" t="n">
        <v>7</v>
      </c>
      <c r="C79" s="16" t="s">
        <v>94</v>
      </c>
      <c r="D79" s="17" t="s">
        <v>208</v>
      </c>
      <c r="E79" s="15" t="s">
        <v>130</v>
      </c>
      <c r="F79" s="15" t="s">
        <v>59</v>
      </c>
      <c r="G79" s="15" t="s">
        <v>21</v>
      </c>
      <c r="H79" s="18"/>
      <c r="I79" s="15"/>
      <c r="J79" s="15" t="n">
        <v>0</v>
      </c>
      <c r="K79" s="18" t="str">
        <f aca="false">IF(J79&gt;=5,"Done",IF(H79="","",H79+CHOOSE(J79+1,1,3,7,21,60)))</f>
        <v/>
      </c>
      <c r="L79" s="16"/>
    </row>
    <row r="80" customFormat="false" ht="15" hidden="false" customHeight="false" outlineLevel="0" collapsed="false">
      <c r="A80" s="15" t="n">
        <v>79</v>
      </c>
      <c r="B80" s="15" t="n">
        <v>7</v>
      </c>
      <c r="C80" s="16" t="s">
        <v>94</v>
      </c>
      <c r="D80" s="17" t="s">
        <v>209</v>
      </c>
      <c r="E80" s="15" t="s">
        <v>130</v>
      </c>
      <c r="F80" s="15" t="s">
        <v>59</v>
      </c>
      <c r="G80" s="15" t="s">
        <v>21</v>
      </c>
      <c r="H80" s="18"/>
      <c r="I80" s="15"/>
      <c r="J80" s="15" t="n">
        <v>0</v>
      </c>
      <c r="K80" s="18" t="str">
        <f aca="false">IF(J80&gt;=5,"Done",IF(H80="","",H80+CHOOSE(J80+1,1,3,7,21,60)))</f>
        <v/>
      </c>
      <c r="L80" s="16"/>
    </row>
    <row r="81" customFormat="false" ht="15" hidden="false" customHeight="false" outlineLevel="0" collapsed="false">
      <c r="A81" s="15" t="n">
        <v>80</v>
      </c>
      <c r="B81" s="15" t="n">
        <v>7</v>
      </c>
      <c r="C81" s="16" t="s">
        <v>94</v>
      </c>
      <c r="D81" s="17" t="s">
        <v>210</v>
      </c>
      <c r="E81" s="15" t="s">
        <v>130</v>
      </c>
      <c r="F81" s="15" t="s">
        <v>59</v>
      </c>
      <c r="G81" s="15" t="s">
        <v>21</v>
      </c>
      <c r="H81" s="18"/>
      <c r="I81" s="15"/>
      <c r="J81" s="15" t="n">
        <v>0</v>
      </c>
      <c r="K81" s="18" t="str">
        <f aca="false">IF(J81&gt;=5,"Done",IF(H81="","",H81+CHOOSE(J81+1,1,3,7,21,60)))</f>
        <v/>
      </c>
      <c r="L81" s="16"/>
    </row>
    <row r="82" customFormat="false" ht="15" hidden="false" customHeight="false" outlineLevel="0" collapsed="false">
      <c r="A82" s="15" t="n">
        <v>81</v>
      </c>
      <c r="B82" s="15" t="n">
        <v>7</v>
      </c>
      <c r="C82" s="16" t="s">
        <v>94</v>
      </c>
      <c r="D82" s="17" t="s">
        <v>211</v>
      </c>
      <c r="E82" s="15" t="s">
        <v>130</v>
      </c>
      <c r="F82" s="15" t="s">
        <v>59</v>
      </c>
      <c r="G82" s="15" t="s">
        <v>21</v>
      </c>
      <c r="H82" s="18"/>
      <c r="I82" s="15"/>
      <c r="J82" s="15" t="n">
        <v>0</v>
      </c>
      <c r="K82" s="18" t="str">
        <f aca="false">IF(J82&gt;=5,"Done",IF(H82="","",H82+CHOOSE(J82+1,1,3,7,21,60)))</f>
        <v/>
      </c>
      <c r="L82" s="16"/>
    </row>
    <row r="83" customFormat="false" ht="15" hidden="false" customHeight="false" outlineLevel="0" collapsed="false">
      <c r="A83" s="15" t="n">
        <v>82</v>
      </c>
      <c r="B83" s="15" t="n">
        <v>7</v>
      </c>
      <c r="C83" s="16" t="s">
        <v>94</v>
      </c>
      <c r="D83" s="17" t="s">
        <v>212</v>
      </c>
      <c r="E83" s="15" t="s">
        <v>130</v>
      </c>
      <c r="F83" s="15" t="s">
        <v>61</v>
      </c>
      <c r="G83" s="15" t="s">
        <v>21</v>
      </c>
      <c r="H83" s="18"/>
      <c r="I83" s="15"/>
      <c r="J83" s="15" t="n">
        <v>0</v>
      </c>
      <c r="K83" s="18" t="str">
        <f aca="false">IF(J83&gt;=5,"Done",IF(H83="","",H83+CHOOSE(J83+1,1,3,7,21,60)))</f>
        <v/>
      </c>
      <c r="L83" s="16"/>
    </row>
    <row r="84" customFormat="false" ht="15" hidden="false" customHeight="false" outlineLevel="0" collapsed="false">
      <c r="A84" s="15" t="n">
        <v>83</v>
      </c>
      <c r="B84" s="15" t="n">
        <v>7</v>
      </c>
      <c r="C84" s="16" t="s">
        <v>94</v>
      </c>
      <c r="D84" s="17" t="s">
        <v>213</v>
      </c>
      <c r="E84" s="15" t="s">
        <v>130</v>
      </c>
      <c r="F84" s="15" t="s">
        <v>61</v>
      </c>
      <c r="G84" s="15" t="s">
        <v>21</v>
      </c>
      <c r="H84" s="18"/>
      <c r="I84" s="15"/>
      <c r="J84" s="15" t="n">
        <v>0</v>
      </c>
      <c r="K84" s="18" t="str">
        <f aca="false">IF(J84&gt;=5,"Done",IF(H84="","",H84+CHOOSE(J84+1,1,3,7,21,60)))</f>
        <v/>
      </c>
      <c r="L84" s="16"/>
    </row>
    <row r="85" customFormat="false" ht="15" hidden="false" customHeight="false" outlineLevel="0" collapsed="false">
      <c r="A85" s="15" t="n">
        <v>84</v>
      </c>
      <c r="B85" s="15" t="n">
        <v>7</v>
      </c>
      <c r="C85" s="16" t="s">
        <v>94</v>
      </c>
      <c r="D85" s="17" t="s">
        <v>214</v>
      </c>
      <c r="E85" s="15" t="s">
        <v>130</v>
      </c>
      <c r="F85" s="15" t="s">
        <v>61</v>
      </c>
      <c r="G85" s="15" t="s">
        <v>21</v>
      </c>
      <c r="H85" s="18"/>
      <c r="I85" s="15"/>
      <c r="J85" s="15" t="n">
        <v>0</v>
      </c>
      <c r="K85" s="18" t="str">
        <f aca="false">IF(J85&gt;=5,"Done",IF(H85="","",H85+CHOOSE(J85+1,1,3,7,21,60)))</f>
        <v/>
      </c>
      <c r="L85" s="16"/>
    </row>
    <row r="86" customFormat="false" ht="15" hidden="false" customHeight="false" outlineLevel="0" collapsed="false">
      <c r="A86" s="15" t="n">
        <v>85</v>
      </c>
      <c r="B86" s="15" t="n">
        <v>7</v>
      </c>
      <c r="C86" s="16" t="s">
        <v>94</v>
      </c>
      <c r="D86" s="17" t="s">
        <v>215</v>
      </c>
      <c r="E86" s="15" t="s">
        <v>130</v>
      </c>
      <c r="F86" s="15" t="s">
        <v>61</v>
      </c>
      <c r="G86" s="15" t="s">
        <v>21</v>
      </c>
      <c r="H86" s="18"/>
      <c r="I86" s="15"/>
      <c r="J86" s="15" t="n">
        <v>0</v>
      </c>
      <c r="K86" s="18" t="str">
        <f aca="false">IF(J86&gt;=5,"Done",IF(H86="","",H86+CHOOSE(J86+1,1,3,7,21,60)))</f>
        <v/>
      </c>
      <c r="L86" s="16"/>
    </row>
    <row r="87" customFormat="false" ht="15" hidden="false" customHeight="false" outlineLevel="0" collapsed="false">
      <c r="A87" s="15" t="n">
        <v>86</v>
      </c>
      <c r="B87" s="15" t="n">
        <v>7</v>
      </c>
      <c r="C87" s="16" t="s">
        <v>94</v>
      </c>
      <c r="D87" s="17" t="s">
        <v>216</v>
      </c>
      <c r="E87" s="15" t="s">
        <v>130</v>
      </c>
      <c r="F87" s="15" t="s">
        <v>61</v>
      </c>
      <c r="G87" s="15" t="s">
        <v>21</v>
      </c>
      <c r="H87" s="18"/>
      <c r="I87" s="15"/>
      <c r="J87" s="15" t="n">
        <v>0</v>
      </c>
      <c r="K87" s="18" t="str">
        <f aca="false">IF(J87&gt;=5,"Done",IF(H87="","",H87+CHOOSE(J87+1,1,3,7,21,60)))</f>
        <v/>
      </c>
      <c r="L87" s="16"/>
    </row>
    <row r="88" customFormat="false" ht="15" hidden="false" customHeight="false" outlineLevel="0" collapsed="false">
      <c r="A88" s="15" t="n">
        <v>87</v>
      </c>
      <c r="B88" s="15" t="n">
        <v>7</v>
      </c>
      <c r="C88" s="16" t="s">
        <v>94</v>
      </c>
      <c r="D88" s="17" t="s">
        <v>217</v>
      </c>
      <c r="E88" s="15" t="s">
        <v>130</v>
      </c>
      <c r="F88" s="15" t="s">
        <v>61</v>
      </c>
      <c r="G88" s="15" t="s">
        <v>21</v>
      </c>
      <c r="H88" s="18"/>
      <c r="I88" s="15"/>
      <c r="J88" s="15" t="n">
        <v>0</v>
      </c>
      <c r="K88" s="18" t="str">
        <f aca="false">IF(J88&gt;=5,"Done",IF(H88="","",H88+CHOOSE(J88+1,1,3,7,21,60)))</f>
        <v/>
      </c>
      <c r="L88" s="16"/>
    </row>
    <row r="89" customFormat="false" ht="15" hidden="false" customHeight="false" outlineLevel="0" collapsed="false">
      <c r="A89" s="15" t="n">
        <v>88</v>
      </c>
      <c r="B89" s="15" t="n">
        <v>7</v>
      </c>
      <c r="C89" s="16" t="s">
        <v>94</v>
      </c>
      <c r="D89" s="17" t="s">
        <v>218</v>
      </c>
      <c r="E89" s="15" t="s">
        <v>130</v>
      </c>
      <c r="F89" s="15" t="s">
        <v>61</v>
      </c>
      <c r="G89" s="15" t="s">
        <v>21</v>
      </c>
      <c r="H89" s="18"/>
      <c r="I89" s="15"/>
      <c r="J89" s="15" t="n">
        <v>0</v>
      </c>
      <c r="K89" s="18" t="str">
        <f aca="false">IF(J89&gt;=5,"Done",IF(H89="","",H89+CHOOSE(J89+1,1,3,7,21,60)))</f>
        <v/>
      </c>
      <c r="L89" s="16"/>
    </row>
    <row r="90" customFormat="false" ht="15" hidden="false" customHeight="false" outlineLevel="0" collapsed="false">
      <c r="A90" s="15" t="n">
        <v>89</v>
      </c>
      <c r="B90" s="15" t="n">
        <v>8</v>
      </c>
      <c r="C90" s="16" t="s">
        <v>96</v>
      </c>
      <c r="D90" s="17" t="s">
        <v>219</v>
      </c>
      <c r="E90" s="15" t="s">
        <v>130</v>
      </c>
      <c r="F90" s="15" t="s">
        <v>59</v>
      </c>
      <c r="G90" s="15" t="s">
        <v>21</v>
      </c>
      <c r="H90" s="18"/>
      <c r="I90" s="15"/>
      <c r="J90" s="15" t="n">
        <v>0</v>
      </c>
      <c r="K90" s="18" t="str">
        <f aca="false">IF(J90&gt;=5,"Done",IF(H90="","",H90+CHOOSE(J90+1,1,3,7,21,60)))</f>
        <v/>
      </c>
      <c r="L90" s="16"/>
    </row>
    <row r="91" customFormat="false" ht="15" hidden="false" customHeight="false" outlineLevel="0" collapsed="false">
      <c r="A91" s="15" t="n">
        <v>90</v>
      </c>
      <c r="B91" s="15" t="n">
        <v>8</v>
      </c>
      <c r="C91" s="16" t="s">
        <v>96</v>
      </c>
      <c r="D91" s="17" t="s">
        <v>220</v>
      </c>
      <c r="E91" s="15" t="s">
        <v>130</v>
      </c>
      <c r="F91" s="15" t="s">
        <v>59</v>
      </c>
      <c r="G91" s="15" t="s">
        <v>21</v>
      </c>
      <c r="H91" s="18"/>
      <c r="I91" s="15"/>
      <c r="J91" s="15" t="n">
        <v>0</v>
      </c>
      <c r="K91" s="18" t="str">
        <f aca="false">IF(J91&gt;=5,"Done",IF(H91="","",H91+CHOOSE(J91+1,1,3,7,21,60)))</f>
        <v/>
      </c>
      <c r="L91" s="16"/>
    </row>
    <row r="92" customFormat="false" ht="15" hidden="false" customHeight="false" outlineLevel="0" collapsed="false">
      <c r="A92" s="15" t="n">
        <v>91</v>
      </c>
      <c r="B92" s="15" t="n">
        <v>8</v>
      </c>
      <c r="C92" s="16" t="s">
        <v>96</v>
      </c>
      <c r="D92" s="17" t="s">
        <v>221</v>
      </c>
      <c r="E92" s="15" t="s">
        <v>130</v>
      </c>
      <c r="F92" s="15" t="s">
        <v>59</v>
      </c>
      <c r="G92" s="15" t="s">
        <v>21</v>
      </c>
      <c r="H92" s="18"/>
      <c r="I92" s="15"/>
      <c r="J92" s="15" t="n">
        <v>0</v>
      </c>
      <c r="K92" s="18" t="str">
        <f aca="false">IF(J92&gt;=5,"Done",IF(H92="","",H92+CHOOSE(J92+1,1,3,7,21,60)))</f>
        <v/>
      </c>
      <c r="L92" s="16"/>
    </row>
    <row r="93" customFormat="false" ht="15" hidden="false" customHeight="false" outlineLevel="0" collapsed="false">
      <c r="A93" s="15" t="n">
        <v>92</v>
      </c>
      <c r="B93" s="15" t="n">
        <v>8</v>
      </c>
      <c r="C93" s="16" t="s">
        <v>96</v>
      </c>
      <c r="D93" s="17" t="s">
        <v>222</v>
      </c>
      <c r="E93" s="15" t="s">
        <v>130</v>
      </c>
      <c r="F93" s="15" t="s">
        <v>59</v>
      </c>
      <c r="G93" s="15" t="s">
        <v>21</v>
      </c>
      <c r="H93" s="18"/>
      <c r="I93" s="15"/>
      <c r="J93" s="15" t="n">
        <v>0</v>
      </c>
      <c r="K93" s="18" t="str">
        <f aca="false">IF(J93&gt;=5,"Done",IF(H93="","",H93+CHOOSE(J93+1,1,3,7,21,60)))</f>
        <v/>
      </c>
      <c r="L93" s="16"/>
    </row>
    <row r="94" customFormat="false" ht="15" hidden="false" customHeight="false" outlineLevel="0" collapsed="false">
      <c r="A94" s="15" t="n">
        <v>93</v>
      </c>
      <c r="B94" s="15" t="n">
        <v>8</v>
      </c>
      <c r="C94" s="16" t="s">
        <v>96</v>
      </c>
      <c r="D94" s="17" t="s">
        <v>223</v>
      </c>
      <c r="E94" s="15" t="s">
        <v>130</v>
      </c>
      <c r="F94" s="15" t="s">
        <v>59</v>
      </c>
      <c r="G94" s="15" t="s">
        <v>21</v>
      </c>
      <c r="H94" s="18"/>
      <c r="I94" s="15"/>
      <c r="J94" s="15" t="n">
        <v>0</v>
      </c>
      <c r="K94" s="18" t="str">
        <f aca="false">IF(J94&gt;=5,"Done",IF(H94="","",H94+CHOOSE(J94+1,1,3,7,21,60)))</f>
        <v/>
      </c>
      <c r="L94" s="16"/>
    </row>
    <row r="95" customFormat="false" ht="15" hidden="false" customHeight="false" outlineLevel="0" collapsed="false">
      <c r="A95" s="15" t="n">
        <v>94</v>
      </c>
      <c r="B95" s="15" t="n">
        <v>8</v>
      </c>
      <c r="C95" s="16" t="s">
        <v>96</v>
      </c>
      <c r="D95" s="17" t="s">
        <v>224</v>
      </c>
      <c r="E95" s="15" t="s">
        <v>130</v>
      </c>
      <c r="F95" s="15" t="s">
        <v>61</v>
      </c>
      <c r="G95" s="15" t="s">
        <v>21</v>
      </c>
      <c r="H95" s="18"/>
      <c r="I95" s="15"/>
      <c r="J95" s="15" t="n">
        <v>0</v>
      </c>
      <c r="K95" s="18" t="str">
        <f aca="false">IF(J95&gt;=5,"Done",IF(H95="","",H95+CHOOSE(J95+1,1,3,7,21,60)))</f>
        <v/>
      </c>
      <c r="L95" s="16"/>
    </row>
    <row r="96" customFormat="false" ht="15" hidden="false" customHeight="false" outlineLevel="0" collapsed="false">
      <c r="A96" s="15" t="n">
        <v>95</v>
      </c>
      <c r="B96" s="15" t="n">
        <v>8</v>
      </c>
      <c r="C96" s="16" t="s">
        <v>96</v>
      </c>
      <c r="D96" s="17" t="s">
        <v>225</v>
      </c>
      <c r="E96" s="15" t="s">
        <v>130</v>
      </c>
      <c r="F96" s="15" t="s">
        <v>61</v>
      </c>
      <c r="G96" s="15" t="s">
        <v>21</v>
      </c>
      <c r="H96" s="18"/>
      <c r="I96" s="15"/>
      <c r="J96" s="15" t="n">
        <v>0</v>
      </c>
      <c r="K96" s="18" t="str">
        <f aca="false">IF(J96&gt;=5,"Done",IF(H96="","",H96+CHOOSE(J96+1,1,3,7,21,60)))</f>
        <v/>
      </c>
      <c r="L96" s="16"/>
    </row>
    <row r="97" customFormat="false" ht="15" hidden="false" customHeight="false" outlineLevel="0" collapsed="false">
      <c r="A97" s="15" t="n">
        <v>96</v>
      </c>
      <c r="B97" s="15" t="n">
        <v>8</v>
      </c>
      <c r="C97" s="16" t="s">
        <v>96</v>
      </c>
      <c r="D97" s="17" t="s">
        <v>226</v>
      </c>
      <c r="E97" s="15" t="s">
        <v>130</v>
      </c>
      <c r="F97" s="15" t="s">
        <v>61</v>
      </c>
      <c r="G97" s="15" t="s">
        <v>21</v>
      </c>
      <c r="H97" s="18"/>
      <c r="I97" s="15"/>
      <c r="J97" s="15" t="n">
        <v>0</v>
      </c>
      <c r="K97" s="18" t="str">
        <f aca="false">IF(J97&gt;=5,"Done",IF(H97="","",H97+CHOOSE(J97+1,1,3,7,21,60)))</f>
        <v/>
      </c>
      <c r="L97" s="16"/>
    </row>
    <row r="98" customFormat="false" ht="15" hidden="false" customHeight="false" outlineLevel="0" collapsed="false">
      <c r="A98" s="15" t="n">
        <v>97</v>
      </c>
      <c r="B98" s="15" t="n">
        <v>8</v>
      </c>
      <c r="C98" s="16" t="s">
        <v>96</v>
      </c>
      <c r="D98" s="17" t="s">
        <v>227</v>
      </c>
      <c r="E98" s="15" t="s">
        <v>130</v>
      </c>
      <c r="F98" s="15" t="s">
        <v>61</v>
      </c>
      <c r="G98" s="15" t="s">
        <v>21</v>
      </c>
      <c r="H98" s="18"/>
      <c r="I98" s="15"/>
      <c r="J98" s="15" t="n">
        <v>0</v>
      </c>
      <c r="K98" s="18" t="str">
        <f aca="false">IF(J98&gt;=5,"Done",IF(H98="","",H98+CHOOSE(J98+1,1,3,7,21,60)))</f>
        <v/>
      </c>
      <c r="L98" s="16"/>
    </row>
    <row r="99" customFormat="false" ht="15" hidden="false" customHeight="false" outlineLevel="0" collapsed="false">
      <c r="A99" s="15" t="n">
        <v>98</v>
      </c>
      <c r="B99" s="15" t="n">
        <v>8</v>
      </c>
      <c r="C99" s="16" t="s">
        <v>96</v>
      </c>
      <c r="D99" s="17" t="s">
        <v>228</v>
      </c>
      <c r="E99" s="15" t="s">
        <v>130</v>
      </c>
      <c r="F99" s="15" t="s">
        <v>61</v>
      </c>
      <c r="G99" s="15" t="s">
        <v>21</v>
      </c>
      <c r="H99" s="18"/>
      <c r="I99" s="15"/>
      <c r="J99" s="15" t="n">
        <v>0</v>
      </c>
      <c r="K99" s="18" t="str">
        <f aca="false">IF(J99&gt;=5,"Done",IF(H99="","",H99+CHOOSE(J99+1,1,3,7,21,60)))</f>
        <v/>
      </c>
      <c r="L99" s="16"/>
    </row>
    <row r="100" customFormat="false" ht="15" hidden="false" customHeight="false" outlineLevel="0" collapsed="false">
      <c r="A100" s="15" t="n">
        <v>99</v>
      </c>
      <c r="B100" s="15" t="n">
        <v>8</v>
      </c>
      <c r="C100" s="16" t="s">
        <v>96</v>
      </c>
      <c r="D100" s="17" t="s">
        <v>229</v>
      </c>
      <c r="E100" s="15" t="s">
        <v>130</v>
      </c>
      <c r="F100" s="15" t="s">
        <v>61</v>
      </c>
      <c r="G100" s="15" t="s">
        <v>21</v>
      </c>
      <c r="H100" s="18"/>
      <c r="I100" s="15"/>
      <c r="J100" s="15" t="n">
        <v>0</v>
      </c>
      <c r="K100" s="18" t="str">
        <f aca="false">IF(J100&gt;=5,"Done",IF(H100="","",H100+CHOOSE(J100+1,1,3,7,21,60)))</f>
        <v/>
      </c>
      <c r="L100" s="16"/>
    </row>
    <row r="101" customFormat="false" ht="15" hidden="false" customHeight="false" outlineLevel="0" collapsed="false">
      <c r="A101" s="15" t="n">
        <v>100</v>
      </c>
      <c r="B101" s="15" t="n">
        <v>8</v>
      </c>
      <c r="C101" s="16" t="s">
        <v>96</v>
      </c>
      <c r="D101" s="17" t="s">
        <v>230</v>
      </c>
      <c r="E101" s="15" t="s">
        <v>130</v>
      </c>
      <c r="F101" s="15" t="s">
        <v>61</v>
      </c>
      <c r="G101" s="15" t="s">
        <v>21</v>
      </c>
      <c r="H101" s="18"/>
      <c r="I101" s="15"/>
      <c r="J101" s="15" t="n">
        <v>0</v>
      </c>
      <c r="K101" s="18" t="str">
        <f aca="false">IF(J101&gt;=5,"Done",IF(H101="","",H101+CHOOSE(J101+1,1,3,7,21,60)))</f>
        <v/>
      </c>
      <c r="L101" s="16"/>
    </row>
    <row r="102" customFormat="false" ht="15" hidden="false" customHeight="false" outlineLevel="0" collapsed="false">
      <c r="A102" s="15" t="n">
        <v>101</v>
      </c>
      <c r="B102" s="15" t="n">
        <v>9</v>
      </c>
      <c r="C102" s="16" t="s">
        <v>98</v>
      </c>
      <c r="D102" s="17" t="s">
        <v>231</v>
      </c>
      <c r="E102" s="15" t="s">
        <v>130</v>
      </c>
      <c r="F102" s="15" t="s">
        <v>59</v>
      </c>
      <c r="G102" s="15" t="s">
        <v>21</v>
      </c>
      <c r="H102" s="18"/>
      <c r="I102" s="15"/>
      <c r="J102" s="15" t="n">
        <v>0</v>
      </c>
      <c r="K102" s="18" t="str">
        <f aca="false">IF(J102&gt;=5,"Done",IF(H102="","",H102+CHOOSE(J102+1,1,3,7,21,60)))</f>
        <v/>
      </c>
      <c r="L102" s="16"/>
    </row>
    <row r="103" customFormat="false" ht="15" hidden="false" customHeight="false" outlineLevel="0" collapsed="false">
      <c r="A103" s="15" t="n">
        <v>102</v>
      </c>
      <c r="B103" s="15" t="n">
        <v>9</v>
      </c>
      <c r="C103" s="16" t="s">
        <v>98</v>
      </c>
      <c r="D103" s="17" t="s">
        <v>232</v>
      </c>
      <c r="E103" s="15" t="s">
        <v>130</v>
      </c>
      <c r="F103" s="15" t="s">
        <v>59</v>
      </c>
      <c r="G103" s="15" t="s">
        <v>21</v>
      </c>
      <c r="H103" s="18"/>
      <c r="I103" s="15"/>
      <c r="J103" s="15" t="n">
        <v>0</v>
      </c>
      <c r="K103" s="18" t="str">
        <f aca="false">IF(J103&gt;=5,"Done",IF(H103="","",H103+CHOOSE(J103+1,1,3,7,21,60)))</f>
        <v/>
      </c>
      <c r="L103" s="16"/>
    </row>
    <row r="104" customFormat="false" ht="15" hidden="false" customHeight="false" outlineLevel="0" collapsed="false">
      <c r="A104" s="15" t="n">
        <v>103</v>
      </c>
      <c r="B104" s="15" t="n">
        <v>9</v>
      </c>
      <c r="C104" s="16" t="s">
        <v>98</v>
      </c>
      <c r="D104" s="17" t="s">
        <v>233</v>
      </c>
      <c r="E104" s="15" t="s">
        <v>130</v>
      </c>
      <c r="F104" s="15" t="s">
        <v>59</v>
      </c>
      <c r="G104" s="15" t="s">
        <v>21</v>
      </c>
      <c r="H104" s="18"/>
      <c r="I104" s="15"/>
      <c r="J104" s="15" t="n">
        <v>0</v>
      </c>
      <c r="K104" s="18" t="str">
        <f aca="false">IF(J104&gt;=5,"Done",IF(H104="","",H104+CHOOSE(J104+1,1,3,7,21,60)))</f>
        <v/>
      </c>
      <c r="L104" s="16"/>
    </row>
    <row r="105" customFormat="false" ht="15" hidden="false" customHeight="false" outlineLevel="0" collapsed="false">
      <c r="A105" s="15" t="n">
        <v>104</v>
      </c>
      <c r="B105" s="15" t="n">
        <v>9</v>
      </c>
      <c r="C105" s="16" t="s">
        <v>98</v>
      </c>
      <c r="D105" s="17" t="s">
        <v>234</v>
      </c>
      <c r="E105" s="15" t="s">
        <v>130</v>
      </c>
      <c r="F105" s="15" t="s">
        <v>59</v>
      </c>
      <c r="G105" s="15" t="s">
        <v>21</v>
      </c>
      <c r="H105" s="18"/>
      <c r="I105" s="15"/>
      <c r="J105" s="15" t="n">
        <v>0</v>
      </c>
      <c r="K105" s="18" t="str">
        <f aca="false">IF(J105&gt;=5,"Done",IF(H105="","",H105+CHOOSE(J105+1,1,3,7,21,60)))</f>
        <v/>
      </c>
      <c r="L105" s="16"/>
    </row>
    <row r="106" customFormat="false" ht="15" hidden="false" customHeight="false" outlineLevel="0" collapsed="false">
      <c r="A106" s="15" t="n">
        <v>105</v>
      </c>
      <c r="B106" s="15" t="n">
        <v>9</v>
      </c>
      <c r="C106" s="16" t="s">
        <v>98</v>
      </c>
      <c r="D106" s="17" t="s">
        <v>235</v>
      </c>
      <c r="E106" s="15" t="s">
        <v>130</v>
      </c>
      <c r="F106" s="15" t="s">
        <v>59</v>
      </c>
      <c r="G106" s="15" t="s">
        <v>21</v>
      </c>
      <c r="H106" s="18"/>
      <c r="I106" s="15"/>
      <c r="J106" s="15" t="n">
        <v>0</v>
      </c>
      <c r="K106" s="18" t="str">
        <f aca="false">IF(J106&gt;=5,"Done",IF(H106="","",H106+CHOOSE(J106+1,1,3,7,21,60)))</f>
        <v/>
      </c>
      <c r="L106" s="16"/>
    </row>
    <row r="107" customFormat="false" ht="15" hidden="false" customHeight="false" outlineLevel="0" collapsed="false">
      <c r="A107" s="15" t="n">
        <v>106</v>
      </c>
      <c r="B107" s="15" t="n">
        <v>9</v>
      </c>
      <c r="C107" s="16" t="s">
        <v>98</v>
      </c>
      <c r="D107" s="17" t="s">
        <v>236</v>
      </c>
      <c r="E107" s="15" t="s">
        <v>130</v>
      </c>
      <c r="F107" s="15" t="s">
        <v>59</v>
      </c>
      <c r="G107" s="15" t="s">
        <v>21</v>
      </c>
      <c r="H107" s="18"/>
      <c r="I107" s="15"/>
      <c r="J107" s="15" t="n">
        <v>0</v>
      </c>
      <c r="K107" s="18" t="str">
        <f aca="false">IF(J107&gt;=5,"Done",IF(H107="","",H107+CHOOSE(J107+1,1,3,7,21,60)))</f>
        <v/>
      </c>
      <c r="L107" s="16"/>
    </row>
    <row r="108" customFormat="false" ht="15" hidden="false" customHeight="false" outlineLevel="0" collapsed="false">
      <c r="A108" s="15" t="n">
        <v>107</v>
      </c>
      <c r="B108" s="15" t="n">
        <v>9</v>
      </c>
      <c r="C108" s="16" t="s">
        <v>98</v>
      </c>
      <c r="D108" s="17" t="s">
        <v>237</v>
      </c>
      <c r="E108" s="15" t="s">
        <v>130</v>
      </c>
      <c r="F108" s="15" t="s">
        <v>61</v>
      </c>
      <c r="G108" s="15" t="s">
        <v>21</v>
      </c>
      <c r="H108" s="18"/>
      <c r="I108" s="15"/>
      <c r="J108" s="15" t="n">
        <v>0</v>
      </c>
      <c r="K108" s="18" t="str">
        <f aca="false">IF(J108&gt;=5,"Done",IF(H108="","",H108+CHOOSE(J108+1,1,3,7,21,60)))</f>
        <v/>
      </c>
      <c r="L108" s="16"/>
    </row>
    <row r="109" customFormat="false" ht="15" hidden="false" customHeight="false" outlineLevel="0" collapsed="false">
      <c r="A109" s="15" t="n">
        <v>108</v>
      </c>
      <c r="B109" s="15" t="n">
        <v>9</v>
      </c>
      <c r="C109" s="16" t="s">
        <v>98</v>
      </c>
      <c r="D109" s="17" t="s">
        <v>238</v>
      </c>
      <c r="E109" s="15" t="s">
        <v>130</v>
      </c>
      <c r="F109" s="15" t="s">
        <v>61</v>
      </c>
      <c r="G109" s="15" t="s">
        <v>21</v>
      </c>
      <c r="H109" s="18"/>
      <c r="I109" s="15"/>
      <c r="J109" s="15" t="n">
        <v>0</v>
      </c>
      <c r="K109" s="18" t="str">
        <f aca="false">IF(J109&gt;=5,"Done",IF(H109="","",H109+CHOOSE(J109+1,1,3,7,21,60)))</f>
        <v/>
      </c>
      <c r="L109" s="16"/>
    </row>
    <row r="110" customFormat="false" ht="15" hidden="false" customHeight="false" outlineLevel="0" collapsed="false">
      <c r="A110" s="15" t="n">
        <v>109</v>
      </c>
      <c r="B110" s="15" t="n">
        <v>9</v>
      </c>
      <c r="C110" s="16" t="s">
        <v>98</v>
      </c>
      <c r="D110" s="17" t="s">
        <v>239</v>
      </c>
      <c r="E110" s="15" t="s">
        <v>130</v>
      </c>
      <c r="F110" s="15" t="s">
        <v>61</v>
      </c>
      <c r="G110" s="15" t="s">
        <v>21</v>
      </c>
      <c r="H110" s="18"/>
      <c r="I110" s="15"/>
      <c r="J110" s="15" t="n">
        <v>0</v>
      </c>
      <c r="K110" s="18" t="str">
        <f aca="false">IF(J110&gt;=5,"Done",IF(H110="","",H110+CHOOSE(J110+1,1,3,7,21,60)))</f>
        <v/>
      </c>
      <c r="L110" s="16"/>
    </row>
    <row r="111" customFormat="false" ht="15" hidden="false" customHeight="false" outlineLevel="0" collapsed="false">
      <c r="A111" s="15" t="n">
        <v>110</v>
      </c>
      <c r="B111" s="15" t="n">
        <v>9</v>
      </c>
      <c r="C111" s="16" t="s">
        <v>98</v>
      </c>
      <c r="D111" s="17" t="s">
        <v>240</v>
      </c>
      <c r="E111" s="15" t="s">
        <v>130</v>
      </c>
      <c r="F111" s="15" t="s">
        <v>61</v>
      </c>
      <c r="G111" s="15" t="s">
        <v>21</v>
      </c>
      <c r="H111" s="18"/>
      <c r="I111" s="15"/>
      <c r="J111" s="15" t="n">
        <v>0</v>
      </c>
      <c r="K111" s="18" t="str">
        <f aca="false">IF(J111&gt;=5,"Done",IF(H111="","",H111+CHOOSE(J111+1,1,3,7,21,60)))</f>
        <v/>
      </c>
      <c r="L111" s="16"/>
    </row>
    <row r="112" customFormat="false" ht="15" hidden="false" customHeight="false" outlineLevel="0" collapsed="false">
      <c r="A112" s="15" t="n">
        <v>111</v>
      </c>
      <c r="B112" s="15" t="n">
        <v>9</v>
      </c>
      <c r="C112" s="16" t="s">
        <v>98</v>
      </c>
      <c r="D112" s="17" t="s">
        <v>241</v>
      </c>
      <c r="E112" s="15" t="s">
        <v>130</v>
      </c>
      <c r="F112" s="15" t="s">
        <v>61</v>
      </c>
      <c r="G112" s="15" t="s">
        <v>21</v>
      </c>
      <c r="H112" s="18"/>
      <c r="I112" s="15"/>
      <c r="J112" s="15" t="n">
        <v>0</v>
      </c>
      <c r="K112" s="18" t="str">
        <f aca="false">IF(J112&gt;=5,"Done",IF(H112="","",H112+CHOOSE(J112+1,1,3,7,21,60)))</f>
        <v/>
      </c>
      <c r="L112" s="16"/>
    </row>
    <row r="113" customFormat="false" ht="15" hidden="false" customHeight="false" outlineLevel="0" collapsed="false">
      <c r="A113" s="15" t="n">
        <v>112</v>
      </c>
      <c r="B113" s="15" t="n">
        <v>9</v>
      </c>
      <c r="C113" s="16" t="s">
        <v>98</v>
      </c>
      <c r="D113" s="17" t="s">
        <v>242</v>
      </c>
      <c r="E113" s="15" t="s">
        <v>243</v>
      </c>
      <c r="F113" s="15" t="s">
        <v>61</v>
      </c>
      <c r="G113" s="15" t="s">
        <v>21</v>
      </c>
      <c r="H113" s="18"/>
      <c r="I113" s="15"/>
      <c r="J113" s="15" t="n">
        <v>0</v>
      </c>
      <c r="K113" s="18" t="str">
        <f aca="false">IF(J113&gt;=5,"Done",IF(H113="","",H113+CHOOSE(J113+1,1,3,7,21,60)))</f>
        <v/>
      </c>
      <c r="L113" s="16"/>
    </row>
    <row r="114" customFormat="false" ht="15" hidden="false" customHeight="false" outlineLevel="0" collapsed="false">
      <c r="A114" s="15" t="n">
        <v>113</v>
      </c>
      <c r="B114" s="15" t="n">
        <v>9</v>
      </c>
      <c r="C114" s="16" t="s">
        <v>98</v>
      </c>
      <c r="D114" s="17" t="s">
        <v>244</v>
      </c>
      <c r="E114" s="15" t="s">
        <v>243</v>
      </c>
      <c r="F114" s="15" t="s">
        <v>61</v>
      </c>
      <c r="G114" s="15" t="s">
        <v>21</v>
      </c>
      <c r="H114" s="18"/>
      <c r="I114" s="15"/>
      <c r="J114" s="15" t="n">
        <v>0</v>
      </c>
      <c r="K114" s="18" t="str">
        <f aca="false">IF(J114&gt;=5,"Done",IF(H114="","",H114+CHOOSE(J114+1,1,3,7,21,60)))</f>
        <v/>
      </c>
      <c r="L114" s="16"/>
    </row>
    <row r="115" customFormat="false" ht="15" hidden="false" customHeight="false" outlineLevel="0" collapsed="false">
      <c r="A115" s="15" t="n">
        <v>114</v>
      </c>
      <c r="B115" s="15" t="n">
        <v>10</v>
      </c>
      <c r="C115" s="16" t="s">
        <v>100</v>
      </c>
      <c r="D115" s="17" t="s">
        <v>245</v>
      </c>
      <c r="E115" s="15" t="s">
        <v>130</v>
      </c>
      <c r="F115" s="15" t="s">
        <v>59</v>
      </c>
      <c r="G115" s="15" t="s">
        <v>21</v>
      </c>
      <c r="H115" s="18"/>
      <c r="I115" s="15"/>
      <c r="J115" s="15" t="n">
        <v>0</v>
      </c>
      <c r="K115" s="18" t="str">
        <f aca="false">IF(J115&gt;=5,"Done",IF(H115="","",H115+CHOOSE(J115+1,1,3,7,21,60)))</f>
        <v/>
      </c>
      <c r="L115" s="16"/>
    </row>
    <row r="116" customFormat="false" ht="15" hidden="false" customHeight="false" outlineLevel="0" collapsed="false">
      <c r="A116" s="15" t="n">
        <v>115</v>
      </c>
      <c r="B116" s="15" t="n">
        <v>10</v>
      </c>
      <c r="C116" s="16" t="s">
        <v>100</v>
      </c>
      <c r="D116" s="17" t="s">
        <v>246</v>
      </c>
      <c r="E116" s="15" t="s">
        <v>130</v>
      </c>
      <c r="F116" s="15" t="s">
        <v>59</v>
      </c>
      <c r="G116" s="15" t="s">
        <v>21</v>
      </c>
      <c r="H116" s="18"/>
      <c r="I116" s="15"/>
      <c r="J116" s="15" t="n">
        <v>0</v>
      </c>
      <c r="K116" s="18" t="str">
        <f aca="false">IF(J116&gt;=5,"Done",IF(H116="","",H116+CHOOSE(J116+1,1,3,7,21,60)))</f>
        <v/>
      </c>
      <c r="L116" s="16"/>
    </row>
    <row r="117" customFormat="false" ht="15" hidden="false" customHeight="false" outlineLevel="0" collapsed="false">
      <c r="A117" s="15" t="n">
        <v>116</v>
      </c>
      <c r="B117" s="15" t="n">
        <v>10</v>
      </c>
      <c r="C117" s="16" t="s">
        <v>100</v>
      </c>
      <c r="D117" s="17" t="s">
        <v>247</v>
      </c>
      <c r="E117" s="15" t="s">
        <v>130</v>
      </c>
      <c r="F117" s="15" t="s">
        <v>59</v>
      </c>
      <c r="G117" s="15" t="s">
        <v>21</v>
      </c>
      <c r="H117" s="18"/>
      <c r="I117" s="15"/>
      <c r="J117" s="15" t="n">
        <v>0</v>
      </c>
      <c r="K117" s="18" t="str">
        <f aca="false">IF(J117&gt;=5,"Done",IF(H117="","",H117+CHOOSE(J117+1,1,3,7,21,60)))</f>
        <v/>
      </c>
      <c r="L117" s="16"/>
    </row>
    <row r="118" customFormat="false" ht="15" hidden="false" customHeight="false" outlineLevel="0" collapsed="false">
      <c r="A118" s="15" t="n">
        <v>117</v>
      </c>
      <c r="B118" s="15" t="n">
        <v>10</v>
      </c>
      <c r="C118" s="16" t="s">
        <v>100</v>
      </c>
      <c r="D118" s="17" t="s">
        <v>248</v>
      </c>
      <c r="E118" s="15" t="s">
        <v>130</v>
      </c>
      <c r="F118" s="15" t="s">
        <v>59</v>
      </c>
      <c r="G118" s="15" t="s">
        <v>21</v>
      </c>
      <c r="H118" s="18"/>
      <c r="I118" s="15"/>
      <c r="J118" s="15" t="n">
        <v>0</v>
      </c>
      <c r="K118" s="18" t="str">
        <f aca="false">IF(J118&gt;=5,"Done",IF(H118="","",H118+CHOOSE(J118+1,1,3,7,21,60)))</f>
        <v/>
      </c>
      <c r="L118" s="16"/>
    </row>
    <row r="119" customFormat="false" ht="15" hidden="false" customHeight="false" outlineLevel="0" collapsed="false">
      <c r="A119" s="15" t="n">
        <v>118</v>
      </c>
      <c r="B119" s="15" t="n">
        <v>10</v>
      </c>
      <c r="C119" s="16" t="s">
        <v>100</v>
      </c>
      <c r="D119" s="17" t="s">
        <v>249</v>
      </c>
      <c r="E119" s="15" t="s">
        <v>130</v>
      </c>
      <c r="F119" s="15" t="s">
        <v>59</v>
      </c>
      <c r="G119" s="15" t="s">
        <v>21</v>
      </c>
      <c r="H119" s="18"/>
      <c r="I119" s="15"/>
      <c r="J119" s="15" t="n">
        <v>0</v>
      </c>
      <c r="K119" s="18" t="str">
        <f aca="false">IF(J119&gt;=5,"Done",IF(H119="","",H119+CHOOSE(J119+1,1,3,7,21,60)))</f>
        <v/>
      </c>
      <c r="L119" s="16"/>
    </row>
    <row r="120" customFormat="false" ht="15" hidden="false" customHeight="false" outlineLevel="0" collapsed="false">
      <c r="A120" s="15" t="n">
        <v>119</v>
      </c>
      <c r="B120" s="15" t="n">
        <v>10</v>
      </c>
      <c r="C120" s="16" t="s">
        <v>100</v>
      </c>
      <c r="D120" s="17" t="s">
        <v>250</v>
      </c>
      <c r="E120" s="15" t="s">
        <v>130</v>
      </c>
      <c r="F120" s="15" t="s">
        <v>61</v>
      </c>
      <c r="G120" s="15" t="s">
        <v>21</v>
      </c>
      <c r="H120" s="18"/>
      <c r="I120" s="15"/>
      <c r="J120" s="15" t="n">
        <v>0</v>
      </c>
      <c r="K120" s="18" t="str">
        <f aca="false">IF(J120&gt;=5,"Done",IF(H120="","",H120+CHOOSE(J120+1,1,3,7,21,60)))</f>
        <v/>
      </c>
      <c r="L120" s="16"/>
    </row>
    <row r="121" customFormat="false" ht="15" hidden="false" customHeight="false" outlineLevel="0" collapsed="false">
      <c r="A121" s="15" t="n">
        <v>120</v>
      </c>
      <c r="B121" s="15" t="n">
        <v>10</v>
      </c>
      <c r="C121" s="16" t="s">
        <v>100</v>
      </c>
      <c r="D121" s="17" t="s">
        <v>251</v>
      </c>
      <c r="E121" s="15" t="s">
        <v>130</v>
      </c>
      <c r="F121" s="15" t="s">
        <v>61</v>
      </c>
      <c r="G121" s="15" t="s">
        <v>21</v>
      </c>
      <c r="H121" s="18"/>
      <c r="I121" s="15"/>
      <c r="J121" s="15" t="n">
        <v>0</v>
      </c>
      <c r="K121" s="18" t="str">
        <f aca="false">IF(J121&gt;=5,"Done",IF(H121="","",H121+CHOOSE(J121+1,1,3,7,21,60)))</f>
        <v/>
      </c>
      <c r="L121" s="16"/>
    </row>
    <row r="122" customFormat="false" ht="15" hidden="false" customHeight="false" outlineLevel="0" collapsed="false">
      <c r="A122" s="15" t="n">
        <v>121</v>
      </c>
      <c r="B122" s="15" t="n">
        <v>10</v>
      </c>
      <c r="C122" s="16" t="s">
        <v>100</v>
      </c>
      <c r="D122" s="17" t="s">
        <v>252</v>
      </c>
      <c r="E122" s="15" t="s">
        <v>130</v>
      </c>
      <c r="F122" s="15" t="s">
        <v>61</v>
      </c>
      <c r="G122" s="15" t="s">
        <v>21</v>
      </c>
      <c r="H122" s="18"/>
      <c r="I122" s="15"/>
      <c r="J122" s="15" t="n">
        <v>0</v>
      </c>
      <c r="K122" s="18" t="str">
        <f aca="false">IF(J122&gt;=5,"Done",IF(H122="","",H122+CHOOSE(J122+1,1,3,7,21,60)))</f>
        <v/>
      </c>
      <c r="L122" s="16"/>
    </row>
    <row r="123" customFormat="false" ht="15" hidden="false" customHeight="false" outlineLevel="0" collapsed="false">
      <c r="A123" s="15" t="n">
        <v>122</v>
      </c>
      <c r="B123" s="15" t="n">
        <v>10</v>
      </c>
      <c r="C123" s="16" t="s">
        <v>100</v>
      </c>
      <c r="D123" s="17" t="s">
        <v>253</v>
      </c>
      <c r="E123" s="15" t="s">
        <v>130</v>
      </c>
      <c r="F123" s="15" t="s">
        <v>61</v>
      </c>
      <c r="G123" s="15" t="s">
        <v>21</v>
      </c>
      <c r="H123" s="18"/>
      <c r="I123" s="15"/>
      <c r="J123" s="15" t="n">
        <v>0</v>
      </c>
      <c r="K123" s="18" t="str">
        <f aca="false">IF(J123&gt;=5,"Done",IF(H123="","",H123+CHOOSE(J123+1,1,3,7,21,60)))</f>
        <v/>
      </c>
      <c r="L123" s="16"/>
    </row>
    <row r="124" customFormat="false" ht="15" hidden="false" customHeight="false" outlineLevel="0" collapsed="false">
      <c r="A124" s="15" t="n">
        <v>123</v>
      </c>
      <c r="B124" s="15" t="n">
        <v>10</v>
      </c>
      <c r="C124" s="16" t="s">
        <v>100</v>
      </c>
      <c r="D124" s="17" t="s">
        <v>254</v>
      </c>
      <c r="E124" s="15" t="s">
        <v>130</v>
      </c>
      <c r="F124" s="15" t="s">
        <v>61</v>
      </c>
      <c r="G124" s="15" t="s">
        <v>21</v>
      </c>
      <c r="H124" s="18"/>
      <c r="I124" s="15"/>
      <c r="J124" s="15" t="n">
        <v>0</v>
      </c>
      <c r="K124" s="18" t="str">
        <f aca="false">IF(J124&gt;=5,"Done",IF(H124="","",H124+CHOOSE(J124+1,1,3,7,21,60)))</f>
        <v/>
      </c>
      <c r="L124" s="16"/>
    </row>
    <row r="125" customFormat="false" ht="15" hidden="false" customHeight="false" outlineLevel="0" collapsed="false">
      <c r="A125" s="15" t="n">
        <v>124</v>
      </c>
      <c r="B125" s="15" t="n">
        <v>10</v>
      </c>
      <c r="C125" s="16" t="s">
        <v>100</v>
      </c>
      <c r="D125" s="17" t="s">
        <v>255</v>
      </c>
      <c r="E125" s="15" t="s">
        <v>130</v>
      </c>
      <c r="F125" s="15" t="s">
        <v>61</v>
      </c>
      <c r="G125" s="15" t="s">
        <v>21</v>
      </c>
      <c r="H125" s="18"/>
      <c r="I125" s="15"/>
      <c r="J125" s="15" t="n">
        <v>0</v>
      </c>
      <c r="K125" s="18" t="str">
        <f aca="false">IF(J125&gt;=5,"Done",IF(H125="","",H125+CHOOSE(J125+1,1,3,7,21,60)))</f>
        <v/>
      </c>
      <c r="L125" s="16"/>
    </row>
    <row r="126" customFormat="false" ht="15" hidden="false" customHeight="false" outlineLevel="0" collapsed="false">
      <c r="A126" s="15" t="n">
        <v>125</v>
      </c>
      <c r="B126" s="15" t="n">
        <v>10</v>
      </c>
      <c r="C126" s="16" t="s">
        <v>100</v>
      </c>
      <c r="D126" s="17" t="s">
        <v>256</v>
      </c>
      <c r="E126" s="15" t="s">
        <v>130</v>
      </c>
      <c r="F126" s="15" t="s">
        <v>61</v>
      </c>
      <c r="G126" s="15" t="s">
        <v>21</v>
      </c>
      <c r="H126" s="18"/>
      <c r="I126" s="15"/>
      <c r="J126" s="15" t="n">
        <v>0</v>
      </c>
      <c r="K126" s="18" t="str">
        <f aca="false">IF(J126&gt;=5,"Done",IF(H126="","",H126+CHOOSE(J126+1,1,3,7,21,60)))</f>
        <v/>
      </c>
      <c r="L126" s="16"/>
    </row>
    <row r="127" customFormat="false" ht="15" hidden="false" customHeight="false" outlineLevel="0" collapsed="false">
      <c r="A127" s="15" t="n">
        <v>126</v>
      </c>
      <c r="B127" s="15" t="n">
        <v>11</v>
      </c>
      <c r="C127" s="16" t="s">
        <v>102</v>
      </c>
      <c r="D127" s="17" t="s">
        <v>257</v>
      </c>
      <c r="E127" s="15" t="s">
        <v>130</v>
      </c>
      <c r="F127" s="15" t="s">
        <v>59</v>
      </c>
      <c r="G127" s="15" t="s">
        <v>21</v>
      </c>
      <c r="H127" s="18"/>
      <c r="I127" s="15"/>
      <c r="J127" s="15" t="n">
        <v>0</v>
      </c>
      <c r="K127" s="18" t="str">
        <f aca="false">IF(J127&gt;=5,"Done",IF(H127="","",H127+CHOOSE(J127+1,1,3,7,21,60)))</f>
        <v/>
      </c>
      <c r="L127" s="16"/>
    </row>
    <row r="128" customFormat="false" ht="15" hidden="false" customHeight="false" outlineLevel="0" collapsed="false">
      <c r="A128" s="15" t="n">
        <v>127</v>
      </c>
      <c r="B128" s="15" t="n">
        <v>11</v>
      </c>
      <c r="C128" s="16" t="s">
        <v>102</v>
      </c>
      <c r="D128" s="17" t="s">
        <v>258</v>
      </c>
      <c r="E128" s="15" t="s">
        <v>130</v>
      </c>
      <c r="F128" s="15" t="s">
        <v>59</v>
      </c>
      <c r="G128" s="15" t="s">
        <v>21</v>
      </c>
      <c r="H128" s="18"/>
      <c r="I128" s="15"/>
      <c r="J128" s="15" t="n">
        <v>0</v>
      </c>
      <c r="K128" s="18" t="str">
        <f aca="false">IF(J128&gt;=5,"Done",IF(H128="","",H128+CHOOSE(J128+1,1,3,7,21,60)))</f>
        <v/>
      </c>
      <c r="L128" s="16"/>
    </row>
    <row r="129" customFormat="false" ht="15" hidden="false" customHeight="false" outlineLevel="0" collapsed="false">
      <c r="A129" s="15" t="n">
        <v>128</v>
      </c>
      <c r="B129" s="15" t="n">
        <v>11</v>
      </c>
      <c r="C129" s="16" t="s">
        <v>102</v>
      </c>
      <c r="D129" s="17" t="s">
        <v>259</v>
      </c>
      <c r="E129" s="15" t="s">
        <v>130</v>
      </c>
      <c r="F129" s="15" t="s">
        <v>59</v>
      </c>
      <c r="G129" s="15" t="s">
        <v>21</v>
      </c>
      <c r="H129" s="18"/>
      <c r="I129" s="15"/>
      <c r="J129" s="15" t="n">
        <v>0</v>
      </c>
      <c r="K129" s="18" t="str">
        <f aca="false">IF(J129&gt;=5,"Done",IF(H129="","",H129+CHOOSE(J129+1,1,3,7,21,60)))</f>
        <v/>
      </c>
      <c r="L129" s="16"/>
    </row>
    <row r="130" customFormat="false" ht="15" hidden="false" customHeight="false" outlineLevel="0" collapsed="false">
      <c r="A130" s="15" t="n">
        <v>129</v>
      </c>
      <c r="B130" s="15" t="n">
        <v>11</v>
      </c>
      <c r="C130" s="16" t="s">
        <v>102</v>
      </c>
      <c r="D130" s="17" t="s">
        <v>260</v>
      </c>
      <c r="E130" s="15" t="s">
        <v>130</v>
      </c>
      <c r="F130" s="15" t="s">
        <v>59</v>
      </c>
      <c r="G130" s="15" t="s">
        <v>21</v>
      </c>
      <c r="H130" s="18"/>
      <c r="I130" s="15"/>
      <c r="J130" s="15" t="n">
        <v>0</v>
      </c>
      <c r="K130" s="18" t="str">
        <f aca="false">IF(J130&gt;=5,"Done",IF(H130="","",H130+CHOOSE(J130+1,1,3,7,21,60)))</f>
        <v/>
      </c>
      <c r="L130" s="16"/>
    </row>
    <row r="131" customFormat="false" ht="15" hidden="false" customHeight="false" outlineLevel="0" collapsed="false">
      <c r="A131" s="15" t="n">
        <v>130</v>
      </c>
      <c r="B131" s="15" t="n">
        <v>11</v>
      </c>
      <c r="C131" s="16" t="s">
        <v>102</v>
      </c>
      <c r="D131" s="17" t="s">
        <v>261</v>
      </c>
      <c r="E131" s="15" t="s">
        <v>130</v>
      </c>
      <c r="F131" s="15" t="s">
        <v>59</v>
      </c>
      <c r="G131" s="15" t="s">
        <v>21</v>
      </c>
      <c r="H131" s="18"/>
      <c r="I131" s="15"/>
      <c r="J131" s="15" t="n">
        <v>0</v>
      </c>
      <c r="K131" s="18" t="str">
        <f aca="false">IF(J131&gt;=5,"Done",IF(H131="","",H131+CHOOSE(J131+1,1,3,7,21,60)))</f>
        <v/>
      </c>
      <c r="L131" s="16"/>
    </row>
    <row r="132" customFormat="false" ht="15" hidden="false" customHeight="false" outlineLevel="0" collapsed="false">
      <c r="A132" s="15" t="n">
        <v>131</v>
      </c>
      <c r="B132" s="15" t="n">
        <v>11</v>
      </c>
      <c r="C132" s="16" t="s">
        <v>102</v>
      </c>
      <c r="D132" s="17" t="s">
        <v>262</v>
      </c>
      <c r="E132" s="15" t="s">
        <v>130</v>
      </c>
      <c r="F132" s="15" t="s">
        <v>61</v>
      </c>
      <c r="G132" s="15" t="s">
        <v>21</v>
      </c>
      <c r="H132" s="18"/>
      <c r="I132" s="15"/>
      <c r="J132" s="15" t="n">
        <v>0</v>
      </c>
      <c r="K132" s="18" t="str">
        <f aca="false">IF(J132&gt;=5,"Done",IF(H132="","",H132+CHOOSE(J132+1,1,3,7,21,60)))</f>
        <v/>
      </c>
      <c r="L132" s="16"/>
    </row>
    <row r="133" customFormat="false" ht="15" hidden="false" customHeight="false" outlineLevel="0" collapsed="false">
      <c r="A133" s="15" t="n">
        <v>132</v>
      </c>
      <c r="B133" s="15" t="n">
        <v>11</v>
      </c>
      <c r="C133" s="16" t="s">
        <v>102</v>
      </c>
      <c r="D133" s="17" t="s">
        <v>263</v>
      </c>
      <c r="E133" s="15" t="s">
        <v>130</v>
      </c>
      <c r="F133" s="15" t="s">
        <v>61</v>
      </c>
      <c r="G133" s="15" t="s">
        <v>21</v>
      </c>
      <c r="H133" s="18"/>
      <c r="I133" s="15"/>
      <c r="J133" s="15" t="n">
        <v>0</v>
      </c>
      <c r="K133" s="18" t="str">
        <f aca="false">IF(J133&gt;=5,"Done",IF(H133="","",H133+CHOOSE(J133+1,1,3,7,21,60)))</f>
        <v/>
      </c>
      <c r="L133" s="16"/>
    </row>
    <row r="134" customFormat="false" ht="15" hidden="false" customHeight="false" outlineLevel="0" collapsed="false">
      <c r="A134" s="15" t="n">
        <v>133</v>
      </c>
      <c r="B134" s="15" t="n">
        <v>11</v>
      </c>
      <c r="C134" s="16" t="s">
        <v>102</v>
      </c>
      <c r="D134" s="17" t="s">
        <v>264</v>
      </c>
      <c r="E134" s="15" t="s">
        <v>243</v>
      </c>
      <c r="F134" s="15" t="s">
        <v>61</v>
      </c>
      <c r="G134" s="15" t="s">
        <v>21</v>
      </c>
      <c r="H134" s="18"/>
      <c r="I134" s="15"/>
      <c r="J134" s="15" t="n">
        <v>0</v>
      </c>
      <c r="K134" s="18" t="str">
        <f aca="false">IF(J134&gt;=5,"Done",IF(H134="","",H134+CHOOSE(J134+1,1,3,7,21,60)))</f>
        <v/>
      </c>
      <c r="L134" s="16"/>
    </row>
    <row r="135" customFormat="false" ht="15" hidden="false" customHeight="false" outlineLevel="0" collapsed="false">
      <c r="A135" s="15" t="n">
        <v>134</v>
      </c>
      <c r="B135" s="15" t="n">
        <v>11</v>
      </c>
      <c r="C135" s="16" t="s">
        <v>102</v>
      </c>
      <c r="D135" s="17" t="s">
        <v>265</v>
      </c>
      <c r="E135" s="15" t="s">
        <v>243</v>
      </c>
      <c r="F135" s="15" t="s">
        <v>61</v>
      </c>
      <c r="G135" s="15" t="s">
        <v>21</v>
      </c>
      <c r="H135" s="18"/>
      <c r="I135" s="15"/>
      <c r="J135" s="15" t="n">
        <v>0</v>
      </c>
      <c r="K135" s="18" t="str">
        <f aca="false">IF(J135&gt;=5,"Done",IF(H135="","",H135+CHOOSE(J135+1,1,3,7,21,60)))</f>
        <v/>
      </c>
      <c r="L135" s="16"/>
    </row>
    <row r="136" customFormat="false" ht="15" hidden="false" customHeight="false" outlineLevel="0" collapsed="false">
      <c r="A136" s="15" t="n">
        <v>135</v>
      </c>
      <c r="B136" s="15" t="n">
        <v>11</v>
      </c>
      <c r="C136" s="16" t="s">
        <v>102</v>
      </c>
      <c r="D136" s="17" t="s">
        <v>266</v>
      </c>
      <c r="E136" s="15" t="s">
        <v>243</v>
      </c>
      <c r="F136" s="15" t="s">
        <v>61</v>
      </c>
      <c r="G136" s="15" t="s">
        <v>21</v>
      </c>
      <c r="H136" s="18"/>
      <c r="I136" s="15"/>
      <c r="J136" s="15" t="n">
        <v>0</v>
      </c>
      <c r="K136" s="18" t="str">
        <f aca="false">IF(J136&gt;=5,"Done",IF(H136="","",H136+CHOOSE(J136+1,1,3,7,21,60)))</f>
        <v/>
      </c>
      <c r="L136" s="16"/>
    </row>
    <row r="137" customFormat="false" ht="15" hidden="false" customHeight="false" outlineLevel="0" collapsed="false">
      <c r="A137" s="15" t="n">
        <v>136</v>
      </c>
      <c r="B137" s="15" t="n">
        <v>11</v>
      </c>
      <c r="C137" s="16" t="s">
        <v>102</v>
      </c>
      <c r="D137" s="17" t="s">
        <v>267</v>
      </c>
      <c r="E137" s="15" t="s">
        <v>243</v>
      </c>
      <c r="F137" s="15" t="s">
        <v>61</v>
      </c>
      <c r="G137" s="15" t="s">
        <v>21</v>
      </c>
      <c r="H137" s="18"/>
      <c r="I137" s="15"/>
      <c r="J137" s="15" t="n">
        <v>0</v>
      </c>
      <c r="K137" s="18" t="str">
        <f aca="false">IF(J137&gt;=5,"Done",IF(H137="","",H137+CHOOSE(J137+1,1,3,7,21,60)))</f>
        <v/>
      </c>
      <c r="L137" s="16"/>
    </row>
    <row r="138" customFormat="false" ht="15" hidden="false" customHeight="false" outlineLevel="0" collapsed="false">
      <c r="A138" s="15" t="n">
        <v>137</v>
      </c>
      <c r="B138" s="15" t="n">
        <v>11</v>
      </c>
      <c r="C138" s="16" t="s">
        <v>102</v>
      </c>
      <c r="D138" s="17" t="s">
        <v>268</v>
      </c>
      <c r="E138" s="15" t="s">
        <v>243</v>
      </c>
      <c r="F138" s="15" t="s">
        <v>61</v>
      </c>
      <c r="G138" s="15" t="s">
        <v>21</v>
      </c>
      <c r="H138" s="18"/>
      <c r="I138" s="15"/>
      <c r="J138" s="15" t="n">
        <v>0</v>
      </c>
      <c r="K138" s="18" t="str">
        <f aca="false">IF(J138&gt;=5,"Done",IF(H138="","",H138+CHOOSE(J138+1,1,3,7,21,60)))</f>
        <v/>
      </c>
      <c r="L138" s="16"/>
    </row>
    <row r="139" customFormat="false" ht="15" hidden="false" customHeight="false" outlineLevel="0" collapsed="false">
      <c r="A139" s="15" t="n">
        <v>138</v>
      </c>
      <c r="B139" s="15" t="n">
        <v>12</v>
      </c>
      <c r="C139" s="16" t="s">
        <v>106</v>
      </c>
      <c r="D139" s="17" t="s">
        <v>269</v>
      </c>
      <c r="E139" s="15" t="s">
        <v>130</v>
      </c>
      <c r="F139" s="15" t="s">
        <v>59</v>
      </c>
      <c r="G139" s="15" t="s">
        <v>21</v>
      </c>
      <c r="H139" s="18"/>
      <c r="I139" s="15"/>
      <c r="J139" s="15" t="n">
        <v>0</v>
      </c>
      <c r="K139" s="18" t="str">
        <f aca="false">IF(J139&gt;=5,"Done",IF(H139="","",H139+CHOOSE(J139+1,1,3,7,21,60)))</f>
        <v/>
      </c>
      <c r="L139" s="16"/>
    </row>
    <row r="140" customFormat="false" ht="15" hidden="false" customHeight="false" outlineLevel="0" collapsed="false">
      <c r="A140" s="15" t="n">
        <v>139</v>
      </c>
      <c r="B140" s="15" t="n">
        <v>12</v>
      </c>
      <c r="C140" s="16" t="s">
        <v>106</v>
      </c>
      <c r="D140" s="17" t="s">
        <v>270</v>
      </c>
      <c r="E140" s="15" t="s">
        <v>130</v>
      </c>
      <c r="F140" s="15" t="s">
        <v>59</v>
      </c>
      <c r="G140" s="15" t="s">
        <v>21</v>
      </c>
      <c r="H140" s="18"/>
      <c r="I140" s="15"/>
      <c r="J140" s="15" t="n">
        <v>0</v>
      </c>
      <c r="K140" s="18" t="str">
        <f aca="false">IF(J140&gt;=5,"Done",IF(H140="","",H140+CHOOSE(J140+1,1,3,7,21,60)))</f>
        <v/>
      </c>
      <c r="L140" s="16"/>
    </row>
    <row r="141" customFormat="false" ht="15" hidden="false" customHeight="false" outlineLevel="0" collapsed="false">
      <c r="A141" s="15" t="n">
        <v>140</v>
      </c>
      <c r="B141" s="15" t="n">
        <v>12</v>
      </c>
      <c r="C141" s="16" t="s">
        <v>106</v>
      </c>
      <c r="D141" s="17" t="s">
        <v>271</v>
      </c>
      <c r="E141" s="15" t="s">
        <v>130</v>
      </c>
      <c r="F141" s="15" t="s">
        <v>59</v>
      </c>
      <c r="G141" s="15" t="s">
        <v>21</v>
      </c>
      <c r="H141" s="18"/>
      <c r="I141" s="15"/>
      <c r="J141" s="15" t="n">
        <v>0</v>
      </c>
      <c r="K141" s="18" t="str">
        <f aca="false">IF(J141&gt;=5,"Done",IF(H141="","",H141+CHOOSE(J141+1,1,3,7,21,60)))</f>
        <v/>
      </c>
      <c r="L141" s="16"/>
    </row>
    <row r="142" customFormat="false" ht="15" hidden="false" customHeight="false" outlineLevel="0" collapsed="false">
      <c r="A142" s="15" t="n">
        <v>141</v>
      </c>
      <c r="B142" s="15" t="n">
        <v>12</v>
      </c>
      <c r="C142" s="16" t="s">
        <v>106</v>
      </c>
      <c r="D142" s="17" t="s">
        <v>272</v>
      </c>
      <c r="E142" s="15" t="s">
        <v>130</v>
      </c>
      <c r="F142" s="15" t="s">
        <v>59</v>
      </c>
      <c r="G142" s="15" t="s">
        <v>21</v>
      </c>
      <c r="H142" s="18"/>
      <c r="I142" s="15"/>
      <c r="J142" s="15" t="n">
        <v>0</v>
      </c>
      <c r="K142" s="18" t="str">
        <f aca="false">IF(J142&gt;=5,"Done",IF(H142="","",H142+CHOOSE(J142+1,1,3,7,21,60)))</f>
        <v/>
      </c>
      <c r="L142" s="16"/>
    </row>
    <row r="143" customFormat="false" ht="15" hidden="false" customHeight="false" outlineLevel="0" collapsed="false">
      <c r="A143" s="15" t="n">
        <v>142</v>
      </c>
      <c r="B143" s="15" t="n">
        <v>12</v>
      </c>
      <c r="C143" s="16" t="s">
        <v>106</v>
      </c>
      <c r="D143" s="17" t="s">
        <v>273</v>
      </c>
      <c r="E143" s="15" t="s">
        <v>130</v>
      </c>
      <c r="F143" s="15" t="s">
        <v>59</v>
      </c>
      <c r="G143" s="15" t="s">
        <v>21</v>
      </c>
      <c r="H143" s="18"/>
      <c r="I143" s="15"/>
      <c r="J143" s="15" t="n">
        <v>0</v>
      </c>
      <c r="K143" s="18" t="str">
        <f aca="false">IF(J143&gt;=5,"Done",IF(H143="","",H143+CHOOSE(J143+1,1,3,7,21,60)))</f>
        <v/>
      </c>
      <c r="L143" s="16"/>
    </row>
    <row r="144" customFormat="false" ht="15" hidden="false" customHeight="false" outlineLevel="0" collapsed="false">
      <c r="A144" s="15" t="n">
        <v>143</v>
      </c>
      <c r="B144" s="15" t="n">
        <v>12</v>
      </c>
      <c r="C144" s="16" t="s">
        <v>106</v>
      </c>
      <c r="D144" s="17" t="s">
        <v>274</v>
      </c>
      <c r="E144" s="15" t="s">
        <v>130</v>
      </c>
      <c r="F144" s="15" t="s">
        <v>59</v>
      </c>
      <c r="G144" s="15" t="s">
        <v>21</v>
      </c>
      <c r="H144" s="18"/>
      <c r="I144" s="15"/>
      <c r="J144" s="15" t="n">
        <v>0</v>
      </c>
      <c r="K144" s="18" t="str">
        <f aca="false">IF(J144&gt;=5,"Done",IF(H144="","",H144+CHOOSE(J144+1,1,3,7,21,60)))</f>
        <v/>
      </c>
      <c r="L144" s="16"/>
    </row>
    <row r="145" customFormat="false" ht="15" hidden="false" customHeight="false" outlineLevel="0" collapsed="false">
      <c r="A145" s="15" t="n">
        <v>144</v>
      </c>
      <c r="B145" s="15" t="n">
        <v>12</v>
      </c>
      <c r="C145" s="16" t="s">
        <v>106</v>
      </c>
      <c r="D145" s="17" t="s">
        <v>275</v>
      </c>
      <c r="E145" s="15" t="s">
        <v>130</v>
      </c>
      <c r="F145" s="15" t="s">
        <v>61</v>
      </c>
      <c r="G145" s="15" t="s">
        <v>21</v>
      </c>
      <c r="H145" s="18"/>
      <c r="I145" s="15"/>
      <c r="J145" s="15" t="n">
        <v>0</v>
      </c>
      <c r="K145" s="18" t="str">
        <f aca="false">IF(J145&gt;=5,"Done",IF(H145="","",H145+CHOOSE(J145+1,1,3,7,21,60)))</f>
        <v/>
      </c>
      <c r="L145" s="16"/>
    </row>
    <row r="146" customFormat="false" ht="15" hidden="false" customHeight="false" outlineLevel="0" collapsed="false">
      <c r="A146" s="15" t="n">
        <v>145</v>
      </c>
      <c r="B146" s="15" t="n">
        <v>12</v>
      </c>
      <c r="C146" s="16" t="s">
        <v>106</v>
      </c>
      <c r="D146" s="17" t="s">
        <v>276</v>
      </c>
      <c r="E146" s="15" t="s">
        <v>130</v>
      </c>
      <c r="F146" s="15" t="s">
        <v>61</v>
      </c>
      <c r="G146" s="15" t="s">
        <v>21</v>
      </c>
      <c r="H146" s="18"/>
      <c r="I146" s="15"/>
      <c r="J146" s="15" t="n">
        <v>0</v>
      </c>
      <c r="K146" s="18" t="str">
        <f aca="false">IF(J146&gt;=5,"Done",IF(H146="","",H146+CHOOSE(J146+1,1,3,7,21,60)))</f>
        <v/>
      </c>
      <c r="L146" s="16"/>
    </row>
    <row r="147" customFormat="false" ht="15" hidden="false" customHeight="false" outlineLevel="0" collapsed="false">
      <c r="A147" s="15" t="n">
        <v>146</v>
      </c>
      <c r="B147" s="15" t="n">
        <v>12</v>
      </c>
      <c r="C147" s="16" t="s">
        <v>106</v>
      </c>
      <c r="D147" s="17" t="s">
        <v>277</v>
      </c>
      <c r="E147" s="15" t="s">
        <v>130</v>
      </c>
      <c r="F147" s="15" t="s">
        <v>61</v>
      </c>
      <c r="G147" s="15" t="s">
        <v>21</v>
      </c>
      <c r="H147" s="18"/>
      <c r="I147" s="15"/>
      <c r="J147" s="15" t="n">
        <v>0</v>
      </c>
      <c r="K147" s="18" t="str">
        <f aca="false">IF(J147&gt;=5,"Done",IF(H147="","",H147+CHOOSE(J147+1,1,3,7,21,60)))</f>
        <v/>
      </c>
      <c r="L147" s="16"/>
    </row>
    <row r="148" customFormat="false" ht="15" hidden="false" customHeight="false" outlineLevel="0" collapsed="false">
      <c r="A148" s="15" t="n">
        <v>147</v>
      </c>
      <c r="B148" s="15" t="n">
        <v>12</v>
      </c>
      <c r="C148" s="16" t="s">
        <v>106</v>
      </c>
      <c r="D148" s="17" t="s">
        <v>278</v>
      </c>
      <c r="E148" s="15" t="s">
        <v>130</v>
      </c>
      <c r="F148" s="15" t="s">
        <v>61</v>
      </c>
      <c r="G148" s="15" t="s">
        <v>21</v>
      </c>
      <c r="H148" s="18"/>
      <c r="I148" s="15"/>
      <c r="J148" s="15" t="n">
        <v>0</v>
      </c>
      <c r="K148" s="18" t="str">
        <f aca="false">IF(J148&gt;=5,"Done",IF(H148="","",H148+CHOOSE(J148+1,1,3,7,21,60)))</f>
        <v/>
      </c>
      <c r="L148" s="16"/>
    </row>
    <row r="149" customFormat="false" ht="15" hidden="false" customHeight="false" outlineLevel="0" collapsed="false">
      <c r="A149" s="15" t="n">
        <v>148</v>
      </c>
      <c r="B149" s="15" t="n">
        <v>12</v>
      </c>
      <c r="C149" s="16" t="s">
        <v>106</v>
      </c>
      <c r="D149" s="17" t="s">
        <v>279</v>
      </c>
      <c r="E149" s="15" t="s">
        <v>130</v>
      </c>
      <c r="F149" s="15" t="s">
        <v>61</v>
      </c>
      <c r="G149" s="15" t="s">
        <v>21</v>
      </c>
      <c r="H149" s="18"/>
      <c r="I149" s="15"/>
      <c r="J149" s="15" t="n">
        <v>0</v>
      </c>
      <c r="K149" s="18" t="str">
        <f aca="false">IF(J149&gt;=5,"Done",IF(H149="","",H149+CHOOSE(J149+1,1,3,7,21,60)))</f>
        <v/>
      </c>
      <c r="L149" s="16"/>
    </row>
    <row r="150" customFormat="false" ht="15" hidden="false" customHeight="false" outlineLevel="0" collapsed="false">
      <c r="A150" s="15" t="n">
        <v>149</v>
      </c>
      <c r="B150" s="15" t="n">
        <v>12</v>
      </c>
      <c r="C150" s="16" t="s">
        <v>106</v>
      </c>
      <c r="D150" s="17" t="s">
        <v>280</v>
      </c>
      <c r="E150" s="15" t="s">
        <v>130</v>
      </c>
      <c r="F150" s="15" t="s">
        <v>61</v>
      </c>
      <c r="G150" s="15" t="s">
        <v>21</v>
      </c>
      <c r="H150" s="18"/>
      <c r="I150" s="15"/>
      <c r="J150" s="15" t="n">
        <v>0</v>
      </c>
      <c r="K150" s="18" t="str">
        <f aca="false">IF(J150&gt;=5,"Done",IF(H150="","",H150+CHOOSE(J150+1,1,3,7,21,60)))</f>
        <v/>
      </c>
      <c r="L150" s="16"/>
    </row>
    <row r="151" customFormat="false" ht="15" hidden="false" customHeight="false" outlineLevel="0" collapsed="false">
      <c r="A151" s="15" t="n">
        <v>150</v>
      </c>
      <c r="B151" s="15" t="n">
        <v>12</v>
      </c>
      <c r="C151" s="16" t="s">
        <v>106</v>
      </c>
      <c r="D151" s="17" t="s">
        <v>281</v>
      </c>
      <c r="E151" s="15" t="s">
        <v>130</v>
      </c>
      <c r="F151" s="15" t="s">
        <v>61</v>
      </c>
      <c r="G151" s="15" t="s">
        <v>21</v>
      </c>
      <c r="H151" s="18"/>
      <c r="I151" s="15"/>
      <c r="J151" s="15" t="n">
        <v>0</v>
      </c>
      <c r="K151" s="18" t="str">
        <f aca="false">IF(J151&gt;=5,"Done",IF(H151="","",H151+CHOOSE(J151+1,1,3,7,21,60)))</f>
        <v/>
      </c>
      <c r="L151" s="16"/>
    </row>
    <row r="152" customFormat="false" ht="15" hidden="false" customHeight="false" outlineLevel="0" collapsed="false">
      <c r="A152" s="15" t="n">
        <v>151</v>
      </c>
      <c r="B152" s="15" t="n">
        <v>13</v>
      </c>
      <c r="C152" s="16" t="s">
        <v>108</v>
      </c>
      <c r="D152" s="17" t="s">
        <v>282</v>
      </c>
      <c r="E152" s="15" t="s">
        <v>130</v>
      </c>
      <c r="F152" s="15" t="s">
        <v>59</v>
      </c>
      <c r="G152" s="15" t="s">
        <v>21</v>
      </c>
      <c r="H152" s="18"/>
      <c r="I152" s="15"/>
      <c r="J152" s="15" t="n">
        <v>0</v>
      </c>
      <c r="K152" s="18" t="str">
        <f aca="false">IF(J152&gt;=5,"Done",IF(H152="","",H152+CHOOSE(J152+1,1,3,7,21,60)))</f>
        <v/>
      </c>
      <c r="L152" s="16"/>
    </row>
    <row r="153" customFormat="false" ht="15" hidden="false" customHeight="false" outlineLevel="0" collapsed="false">
      <c r="A153" s="15" t="n">
        <v>152</v>
      </c>
      <c r="B153" s="15" t="n">
        <v>13</v>
      </c>
      <c r="C153" s="16" t="s">
        <v>108</v>
      </c>
      <c r="D153" s="17" t="s">
        <v>283</v>
      </c>
      <c r="E153" s="15" t="s">
        <v>130</v>
      </c>
      <c r="F153" s="15" t="s">
        <v>59</v>
      </c>
      <c r="G153" s="15" t="s">
        <v>21</v>
      </c>
      <c r="H153" s="18"/>
      <c r="I153" s="15"/>
      <c r="J153" s="15" t="n">
        <v>0</v>
      </c>
      <c r="K153" s="18" t="str">
        <f aca="false">IF(J153&gt;=5,"Done",IF(H153="","",H153+CHOOSE(J153+1,1,3,7,21,60)))</f>
        <v/>
      </c>
      <c r="L153" s="16"/>
    </row>
    <row r="154" customFormat="false" ht="15" hidden="false" customHeight="false" outlineLevel="0" collapsed="false">
      <c r="A154" s="15" t="n">
        <v>153</v>
      </c>
      <c r="B154" s="15" t="n">
        <v>13</v>
      </c>
      <c r="C154" s="16" t="s">
        <v>108</v>
      </c>
      <c r="D154" s="17" t="s">
        <v>284</v>
      </c>
      <c r="E154" s="15" t="s">
        <v>130</v>
      </c>
      <c r="F154" s="15" t="s">
        <v>59</v>
      </c>
      <c r="G154" s="15" t="s">
        <v>21</v>
      </c>
      <c r="H154" s="18"/>
      <c r="I154" s="15"/>
      <c r="J154" s="15" t="n">
        <v>0</v>
      </c>
      <c r="K154" s="18" t="str">
        <f aca="false">IF(J154&gt;=5,"Done",IF(H154="","",H154+CHOOSE(J154+1,1,3,7,21,60)))</f>
        <v/>
      </c>
      <c r="L154" s="16"/>
    </row>
    <row r="155" customFormat="false" ht="15" hidden="false" customHeight="false" outlineLevel="0" collapsed="false">
      <c r="A155" s="15" t="n">
        <v>154</v>
      </c>
      <c r="B155" s="15" t="n">
        <v>13</v>
      </c>
      <c r="C155" s="16" t="s">
        <v>108</v>
      </c>
      <c r="D155" s="17" t="s">
        <v>285</v>
      </c>
      <c r="E155" s="15" t="s">
        <v>130</v>
      </c>
      <c r="F155" s="15" t="s">
        <v>59</v>
      </c>
      <c r="G155" s="15" t="s">
        <v>21</v>
      </c>
      <c r="H155" s="18"/>
      <c r="I155" s="15"/>
      <c r="J155" s="15" t="n">
        <v>0</v>
      </c>
      <c r="K155" s="18" t="str">
        <f aca="false">IF(J155&gt;=5,"Done",IF(H155="","",H155+CHOOSE(J155+1,1,3,7,21,60)))</f>
        <v/>
      </c>
      <c r="L155" s="16"/>
    </row>
    <row r="156" customFormat="false" ht="15" hidden="false" customHeight="false" outlineLevel="0" collapsed="false">
      <c r="A156" s="15" t="n">
        <v>155</v>
      </c>
      <c r="B156" s="15" t="n">
        <v>13</v>
      </c>
      <c r="C156" s="16" t="s">
        <v>108</v>
      </c>
      <c r="D156" s="17" t="s">
        <v>286</v>
      </c>
      <c r="E156" s="15" t="s">
        <v>130</v>
      </c>
      <c r="F156" s="15" t="s">
        <v>59</v>
      </c>
      <c r="G156" s="15" t="s">
        <v>21</v>
      </c>
      <c r="H156" s="18"/>
      <c r="I156" s="15"/>
      <c r="J156" s="15" t="n">
        <v>0</v>
      </c>
      <c r="K156" s="18" t="str">
        <f aca="false">IF(J156&gt;=5,"Done",IF(H156="","",H156+CHOOSE(J156+1,1,3,7,21,60)))</f>
        <v/>
      </c>
      <c r="L156" s="16"/>
    </row>
    <row r="157" customFormat="false" ht="15" hidden="false" customHeight="false" outlineLevel="0" collapsed="false">
      <c r="A157" s="15" t="n">
        <v>156</v>
      </c>
      <c r="B157" s="15" t="n">
        <v>13</v>
      </c>
      <c r="C157" s="16" t="s">
        <v>108</v>
      </c>
      <c r="D157" s="17" t="s">
        <v>287</v>
      </c>
      <c r="E157" s="15" t="s">
        <v>130</v>
      </c>
      <c r="F157" s="15" t="s">
        <v>61</v>
      </c>
      <c r="G157" s="15" t="s">
        <v>21</v>
      </c>
      <c r="H157" s="18"/>
      <c r="I157" s="15"/>
      <c r="J157" s="15" t="n">
        <v>0</v>
      </c>
      <c r="K157" s="18" t="str">
        <f aca="false">IF(J157&gt;=5,"Done",IF(H157="","",H157+CHOOSE(J157+1,1,3,7,21,60)))</f>
        <v/>
      </c>
      <c r="L157" s="16"/>
    </row>
    <row r="158" customFormat="false" ht="15" hidden="false" customHeight="false" outlineLevel="0" collapsed="false">
      <c r="A158" s="15" t="n">
        <v>157</v>
      </c>
      <c r="B158" s="15" t="n">
        <v>13</v>
      </c>
      <c r="C158" s="16" t="s">
        <v>108</v>
      </c>
      <c r="D158" s="17" t="s">
        <v>288</v>
      </c>
      <c r="E158" s="15" t="s">
        <v>130</v>
      </c>
      <c r="F158" s="15" t="s">
        <v>61</v>
      </c>
      <c r="G158" s="15" t="s">
        <v>21</v>
      </c>
      <c r="H158" s="18"/>
      <c r="I158" s="15"/>
      <c r="J158" s="15" t="n">
        <v>0</v>
      </c>
      <c r="K158" s="18" t="str">
        <f aca="false">IF(J158&gt;=5,"Done",IF(H158="","",H158+CHOOSE(J158+1,1,3,7,21,60)))</f>
        <v/>
      </c>
      <c r="L158" s="16"/>
    </row>
    <row r="159" customFormat="false" ht="15" hidden="false" customHeight="false" outlineLevel="0" collapsed="false">
      <c r="A159" s="15" t="n">
        <v>158</v>
      </c>
      <c r="B159" s="15" t="n">
        <v>13</v>
      </c>
      <c r="C159" s="16" t="s">
        <v>108</v>
      </c>
      <c r="D159" s="17" t="s">
        <v>289</v>
      </c>
      <c r="E159" s="15" t="s">
        <v>130</v>
      </c>
      <c r="F159" s="15" t="s">
        <v>61</v>
      </c>
      <c r="G159" s="15" t="s">
        <v>21</v>
      </c>
      <c r="H159" s="18"/>
      <c r="I159" s="15"/>
      <c r="J159" s="15" t="n">
        <v>0</v>
      </c>
      <c r="K159" s="18" t="str">
        <f aca="false">IF(J159&gt;=5,"Done",IF(H159="","",H159+CHOOSE(J159+1,1,3,7,21,60)))</f>
        <v/>
      </c>
      <c r="L159" s="16"/>
    </row>
    <row r="160" customFormat="false" ht="15" hidden="false" customHeight="false" outlineLevel="0" collapsed="false">
      <c r="A160" s="15" t="n">
        <v>159</v>
      </c>
      <c r="B160" s="15" t="n">
        <v>13</v>
      </c>
      <c r="C160" s="16" t="s">
        <v>108</v>
      </c>
      <c r="D160" s="17" t="s">
        <v>290</v>
      </c>
      <c r="E160" s="15" t="s">
        <v>130</v>
      </c>
      <c r="F160" s="15" t="s">
        <v>61</v>
      </c>
      <c r="G160" s="15" t="s">
        <v>21</v>
      </c>
      <c r="H160" s="18"/>
      <c r="I160" s="15"/>
      <c r="J160" s="15" t="n">
        <v>0</v>
      </c>
      <c r="K160" s="18" t="str">
        <f aca="false">IF(J160&gt;=5,"Done",IF(H160="","",H160+CHOOSE(J160+1,1,3,7,21,60)))</f>
        <v/>
      </c>
      <c r="L160" s="16"/>
    </row>
    <row r="161" customFormat="false" ht="15" hidden="false" customHeight="false" outlineLevel="0" collapsed="false">
      <c r="A161" s="15" t="n">
        <v>160</v>
      </c>
      <c r="B161" s="15" t="n">
        <v>13</v>
      </c>
      <c r="C161" s="16" t="s">
        <v>108</v>
      </c>
      <c r="D161" s="17" t="s">
        <v>291</v>
      </c>
      <c r="E161" s="15" t="s">
        <v>130</v>
      </c>
      <c r="F161" s="15" t="s">
        <v>61</v>
      </c>
      <c r="G161" s="15" t="s">
        <v>21</v>
      </c>
      <c r="H161" s="18"/>
      <c r="I161" s="15"/>
      <c r="J161" s="15" t="n">
        <v>0</v>
      </c>
      <c r="K161" s="18" t="str">
        <f aca="false">IF(J161&gt;=5,"Done",IF(H161="","",H161+CHOOSE(J161+1,1,3,7,21,60)))</f>
        <v/>
      </c>
      <c r="L161" s="16"/>
    </row>
    <row r="162" customFormat="false" ht="15" hidden="false" customHeight="false" outlineLevel="0" collapsed="false">
      <c r="A162" s="15" t="n">
        <v>161</v>
      </c>
      <c r="B162" s="15" t="n">
        <v>13</v>
      </c>
      <c r="C162" s="16" t="s">
        <v>108</v>
      </c>
      <c r="D162" s="17" t="s">
        <v>292</v>
      </c>
      <c r="E162" s="15" t="s">
        <v>130</v>
      </c>
      <c r="F162" s="15" t="s">
        <v>61</v>
      </c>
      <c r="G162" s="15" t="s">
        <v>21</v>
      </c>
      <c r="H162" s="18"/>
      <c r="I162" s="15"/>
      <c r="J162" s="15" t="n">
        <v>0</v>
      </c>
      <c r="K162" s="18" t="str">
        <f aca="false">IF(J162&gt;=5,"Done",IF(H162="","",H162+CHOOSE(J162+1,1,3,7,21,60)))</f>
        <v/>
      </c>
      <c r="L162" s="16"/>
    </row>
    <row r="163" customFormat="false" ht="15" hidden="false" customHeight="false" outlineLevel="0" collapsed="false">
      <c r="A163" s="15" t="n">
        <v>162</v>
      </c>
      <c r="B163" s="15" t="n">
        <v>13</v>
      </c>
      <c r="C163" s="16" t="s">
        <v>108</v>
      </c>
      <c r="D163" s="17" t="s">
        <v>293</v>
      </c>
      <c r="E163" s="15" t="s">
        <v>130</v>
      </c>
      <c r="F163" s="15" t="s">
        <v>61</v>
      </c>
      <c r="G163" s="15" t="s">
        <v>21</v>
      </c>
      <c r="H163" s="18"/>
      <c r="I163" s="15"/>
      <c r="J163" s="15" t="n">
        <v>0</v>
      </c>
      <c r="K163" s="18" t="str">
        <f aca="false">IF(J163&gt;=5,"Done",IF(H163="","",H163+CHOOSE(J163+1,1,3,7,21,60)))</f>
        <v/>
      </c>
      <c r="L163" s="16"/>
    </row>
    <row r="164" customFormat="false" ht="15" hidden="false" customHeight="false" outlineLevel="0" collapsed="false">
      <c r="A164" s="15" t="n">
        <v>163</v>
      </c>
      <c r="B164" s="15" t="n">
        <v>14</v>
      </c>
      <c r="C164" s="16" t="s">
        <v>110</v>
      </c>
      <c r="D164" s="17" t="s">
        <v>294</v>
      </c>
      <c r="E164" s="15" t="s">
        <v>130</v>
      </c>
      <c r="F164" s="15" t="s">
        <v>59</v>
      </c>
      <c r="G164" s="15" t="s">
        <v>21</v>
      </c>
      <c r="H164" s="18"/>
      <c r="I164" s="15"/>
      <c r="J164" s="15" t="n">
        <v>0</v>
      </c>
      <c r="K164" s="18" t="str">
        <f aca="false">IF(J164&gt;=5,"Done",IF(H164="","",H164+CHOOSE(J164+1,1,3,7,21,60)))</f>
        <v/>
      </c>
      <c r="L164" s="16"/>
    </row>
    <row r="165" customFormat="false" ht="15" hidden="false" customHeight="false" outlineLevel="0" collapsed="false">
      <c r="A165" s="15" t="n">
        <v>164</v>
      </c>
      <c r="B165" s="15" t="n">
        <v>14</v>
      </c>
      <c r="C165" s="16" t="s">
        <v>110</v>
      </c>
      <c r="D165" s="17" t="s">
        <v>295</v>
      </c>
      <c r="E165" s="15" t="s">
        <v>130</v>
      </c>
      <c r="F165" s="15" t="s">
        <v>59</v>
      </c>
      <c r="G165" s="15" t="s">
        <v>21</v>
      </c>
      <c r="H165" s="18"/>
      <c r="I165" s="15"/>
      <c r="J165" s="15" t="n">
        <v>0</v>
      </c>
      <c r="K165" s="18" t="str">
        <f aca="false">IF(J165&gt;=5,"Done",IF(H165="","",H165+CHOOSE(J165+1,1,3,7,21,60)))</f>
        <v/>
      </c>
      <c r="L165" s="16"/>
    </row>
    <row r="166" customFormat="false" ht="15" hidden="false" customHeight="false" outlineLevel="0" collapsed="false">
      <c r="A166" s="15" t="n">
        <v>165</v>
      </c>
      <c r="B166" s="15" t="n">
        <v>14</v>
      </c>
      <c r="C166" s="16" t="s">
        <v>110</v>
      </c>
      <c r="D166" s="17" t="s">
        <v>296</v>
      </c>
      <c r="E166" s="15" t="s">
        <v>130</v>
      </c>
      <c r="F166" s="15" t="s">
        <v>59</v>
      </c>
      <c r="G166" s="15" t="s">
        <v>21</v>
      </c>
      <c r="H166" s="18"/>
      <c r="I166" s="15"/>
      <c r="J166" s="15" t="n">
        <v>0</v>
      </c>
      <c r="K166" s="18" t="str">
        <f aca="false">IF(J166&gt;=5,"Done",IF(H166="","",H166+CHOOSE(J166+1,1,3,7,21,60)))</f>
        <v/>
      </c>
      <c r="L166" s="16"/>
    </row>
    <row r="167" customFormat="false" ht="15" hidden="false" customHeight="false" outlineLevel="0" collapsed="false">
      <c r="A167" s="15" t="n">
        <v>166</v>
      </c>
      <c r="B167" s="15" t="n">
        <v>14</v>
      </c>
      <c r="C167" s="16" t="s">
        <v>110</v>
      </c>
      <c r="D167" s="17" t="s">
        <v>297</v>
      </c>
      <c r="E167" s="15" t="s">
        <v>130</v>
      </c>
      <c r="F167" s="15" t="s">
        <v>59</v>
      </c>
      <c r="G167" s="15" t="s">
        <v>21</v>
      </c>
      <c r="H167" s="18"/>
      <c r="I167" s="15"/>
      <c r="J167" s="15" t="n">
        <v>0</v>
      </c>
      <c r="K167" s="18" t="str">
        <f aca="false">IF(J167&gt;=5,"Done",IF(H167="","",H167+CHOOSE(J167+1,1,3,7,21,60)))</f>
        <v/>
      </c>
      <c r="L167" s="16"/>
    </row>
    <row r="168" customFormat="false" ht="15" hidden="false" customHeight="false" outlineLevel="0" collapsed="false">
      <c r="A168" s="15" t="n">
        <v>167</v>
      </c>
      <c r="B168" s="15" t="n">
        <v>14</v>
      </c>
      <c r="C168" s="16" t="s">
        <v>110</v>
      </c>
      <c r="D168" s="17" t="s">
        <v>298</v>
      </c>
      <c r="E168" s="15" t="s">
        <v>130</v>
      </c>
      <c r="F168" s="15" t="s">
        <v>59</v>
      </c>
      <c r="G168" s="15" t="s">
        <v>21</v>
      </c>
      <c r="H168" s="18"/>
      <c r="I168" s="15"/>
      <c r="J168" s="15" t="n">
        <v>0</v>
      </c>
      <c r="K168" s="18" t="str">
        <f aca="false">IF(J168&gt;=5,"Done",IF(H168="","",H168+CHOOSE(J168+1,1,3,7,21,60)))</f>
        <v/>
      </c>
      <c r="L168" s="16"/>
    </row>
    <row r="169" customFormat="false" ht="15" hidden="false" customHeight="false" outlineLevel="0" collapsed="false">
      <c r="A169" s="15" t="n">
        <v>168</v>
      </c>
      <c r="B169" s="15" t="n">
        <v>14</v>
      </c>
      <c r="C169" s="16" t="s">
        <v>110</v>
      </c>
      <c r="D169" s="17" t="s">
        <v>299</v>
      </c>
      <c r="E169" s="15" t="s">
        <v>130</v>
      </c>
      <c r="F169" s="15" t="s">
        <v>59</v>
      </c>
      <c r="G169" s="15" t="s">
        <v>21</v>
      </c>
      <c r="H169" s="18"/>
      <c r="I169" s="15"/>
      <c r="J169" s="15" t="n">
        <v>0</v>
      </c>
      <c r="K169" s="18" t="str">
        <f aca="false">IF(J169&gt;=5,"Done",IF(H169="","",H169+CHOOSE(J169+1,1,3,7,21,60)))</f>
        <v/>
      </c>
      <c r="L169" s="16"/>
    </row>
    <row r="170" customFormat="false" ht="15" hidden="false" customHeight="false" outlineLevel="0" collapsed="false">
      <c r="A170" s="15" t="n">
        <v>169</v>
      </c>
      <c r="B170" s="15" t="n">
        <v>14</v>
      </c>
      <c r="C170" s="16" t="s">
        <v>110</v>
      </c>
      <c r="D170" s="17" t="s">
        <v>300</v>
      </c>
      <c r="E170" s="15" t="s">
        <v>130</v>
      </c>
      <c r="F170" s="15" t="s">
        <v>61</v>
      </c>
      <c r="G170" s="15" t="s">
        <v>21</v>
      </c>
      <c r="H170" s="18"/>
      <c r="I170" s="15"/>
      <c r="J170" s="15" t="n">
        <v>0</v>
      </c>
      <c r="K170" s="18" t="str">
        <f aca="false">IF(J170&gt;=5,"Done",IF(H170="","",H170+CHOOSE(J170+1,1,3,7,21,60)))</f>
        <v/>
      </c>
      <c r="L170" s="16"/>
    </row>
    <row r="171" customFormat="false" ht="15" hidden="false" customHeight="false" outlineLevel="0" collapsed="false">
      <c r="A171" s="15" t="n">
        <v>170</v>
      </c>
      <c r="B171" s="15" t="n">
        <v>14</v>
      </c>
      <c r="C171" s="16" t="s">
        <v>110</v>
      </c>
      <c r="D171" s="17" t="s">
        <v>301</v>
      </c>
      <c r="E171" s="15" t="s">
        <v>130</v>
      </c>
      <c r="F171" s="15" t="s">
        <v>61</v>
      </c>
      <c r="G171" s="15" t="s">
        <v>21</v>
      </c>
      <c r="H171" s="18"/>
      <c r="I171" s="15"/>
      <c r="J171" s="15" t="n">
        <v>0</v>
      </c>
      <c r="K171" s="18" t="str">
        <f aca="false">IF(J171&gt;=5,"Done",IF(H171="","",H171+CHOOSE(J171+1,1,3,7,21,60)))</f>
        <v/>
      </c>
      <c r="L171" s="16"/>
    </row>
    <row r="172" customFormat="false" ht="15" hidden="false" customHeight="false" outlineLevel="0" collapsed="false">
      <c r="A172" s="15" t="n">
        <v>171</v>
      </c>
      <c r="B172" s="15" t="n">
        <v>14</v>
      </c>
      <c r="C172" s="16" t="s">
        <v>110</v>
      </c>
      <c r="D172" s="17" t="s">
        <v>302</v>
      </c>
      <c r="E172" s="15" t="s">
        <v>130</v>
      </c>
      <c r="F172" s="15" t="s">
        <v>61</v>
      </c>
      <c r="G172" s="15" t="s">
        <v>21</v>
      </c>
      <c r="H172" s="18"/>
      <c r="I172" s="15"/>
      <c r="J172" s="15" t="n">
        <v>0</v>
      </c>
      <c r="K172" s="18" t="str">
        <f aca="false">IF(J172&gt;=5,"Done",IF(H172="","",H172+CHOOSE(J172+1,1,3,7,21,60)))</f>
        <v/>
      </c>
      <c r="L172" s="16"/>
    </row>
    <row r="173" customFormat="false" ht="15" hidden="false" customHeight="false" outlineLevel="0" collapsed="false">
      <c r="A173" s="15" t="n">
        <v>172</v>
      </c>
      <c r="B173" s="15" t="n">
        <v>14</v>
      </c>
      <c r="C173" s="16" t="s">
        <v>110</v>
      </c>
      <c r="D173" s="17" t="s">
        <v>303</v>
      </c>
      <c r="E173" s="15" t="s">
        <v>130</v>
      </c>
      <c r="F173" s="15" t="s">
        <v>61</v>
      </c>
      <c r="G173" s="15" t="s">
        <v>21</v>
      </c>
      <c r="H173" s="18"/>
      <c r="I173" s="15"/>
      <c r="J173" s="15" t="n">
        <v>0</v>
      </c>
      <c r="K173" s="18" t="str">
        <f aca="false">IF(J173&gt;=5,"Done",IF(H173="","",H173+CHOOSE(J173+1,1,3,7,21,60)))</f>
        <v/>
      </c>
      <c r="L173" s="16"/>
    </row>
    <row r="174" customFormat="false" ht="15" hidden="false" customHeight="false" outlineLevel="0" collapsed="false">
      <c r="A174" s="15" t="n">
        <v>173</v>
      </c>
      <c r="B174" s="15" t="n">
        <v>14</v>
      </c>
      <c r="C174" s="16" t="s">
        <v>110</v>
      </c>
      <c r="D174" s="17" t="s">
        <v>304</v>
      </c>
      <c r="E174" s="15" t="s">
        <v>130</v>
      </c>
      <c r="F174" s="15" t="s">
        <v>61</v>
      </c>
      <c r="G174" s="15" t="s">
        <v>21</v>
      </c>
      <c r="H174" s="18"/>
      <c r="I174" s="15"/>
      <c r="J174" s="15" t="n">
        <v>0</v>
      </c>
      <c r="K174" s="18" t="str">
        <f aca="false">IF(J174&gt;=5,"Done",IF(H174="","",H174+CHOOSE(J174+1,1,3,7,21,60)))</f>
        <v/>
      </c>
      <c r="L174" s="16"/>
    </row>
    <row r="175" customFormat="false" ht="15" hidden="false" customHeight="false" outlineLevel="0" collapsed="false">
      <c r="A175" s="15" t="n">
        <v>174</v>
      </c>
      <c r="B175" s="15" t="n">
        <v>14</v>
      </c>
      <c r="C175" s="16" t="s">
        <v>110</v>
      </c>
      <c r="D175" s="17" t="s">
        <v>305</v>
      </c>
      <c r="E175" s="15" t="s">
        <v>130</v>
      </c>
      <c r="F175" s="15" t="s">
        <v>61</v>
      </c>
      <c r="G175" s="15" t="s">
        <v>21</v>
      </c>
      <c r="H175" s="18"/>
      <c r="I175" s="15"/>
      <c r="J175" s="15" t="n">
        <v>0</v>
      </c>
      <c r="K175" s="18" t="str">
        <f aca="false">IF(J175&gt;=5,"Done",IF(H175="","",H175+CHOOSE(J175+1,1,3,7,21,60)))</f>
        <v/>
      </c>
      <c r="L175" s="16"/>
    </row>
    <row r="176" customFormat="false" ht="15" hidden="false" customHeight="false" outlineLevel="0" collapsed="false">
      <c r="A176" s="15" t="n">
        <v>175</v>
      </c>
      <c r="B176" s="15" t="n">
        <v>14</v>
      </c>
      <c r="C176" s="16" t="s">
        <v>110</v>
      </c>
      <c r="D176" s="17" t="s">
        <v>306</v>
      </c>
      <c r="E176" s="15" t="s">
        <v>243</v>
      </c>
      <c r="F176" s="15" t="s">
        <v>61</v>
      </c>
      <c r="G176" s="15" t="s">
        <v>21</v>
      </c>
      <c r="H176" s="18"/>
      <c r="I176" s="15"/>
      <c r="J176" s="15" t="n">
        <v>0</v>
      </c>
      <c r="K176" s="18" t="str">
        <f aca="false">IF(J176&gt;=5,"Done",IF(H176="","",H176+CHOOSE(J176+1,1,3,7,21,60)))</f>
        <v/>
      </c>
      <c r="L176" s="16"/>
    </row>
    <row r="177" customFormat="false" ht="15" hidden="false" customHeight="false" outlineLevel="0" collapsed="false">
      <c r="A177" s="15" t="n">
        <v>176</v>
      </c>
      <c r="B177" s="15" t="n">
        <v>15</v>
      </c>
      <c r="C177" s="16" t="s">
        <v>112</v>
      </c>
      <c r="D177" s="17" t="s">
        <v>307</v>
      </c>
      <c r="E177" s="15" t="s">
        <v>130</v>
      </c>
      <c r="F177" s="15" t="s">
        <v>59</v>
      </c>
      <c r="G177" s="15" t="s">
        <v>21</v>
      </c>
      <c r="H177" s="18"/>
      <c r="I177" s="15"/>
      <c r="J177" s="15" t="n">
        <v>0</v>
      </c>
      <c r="K177" s="18" t="str">
        <f aca="false">IF(J177&gt;=5,"Done",IF(H177="","",H177+CHOOSE(J177+1,1,3,7,21,60)))</f>
        <v/>
      </c>
      <c r="L177" s="16"/>
    </row>
    <row r="178" customFormat="false" ht="15" hidden="false" customHeight="false" outlineLevel="0" collapsed="false">
      <c r="A178" s="15" t="n">
        <v>177</v>
      </c>
      <c r="B178" s="15" t="n">
        <v>15</v>
      </c>
      <c r="C178" s="16" t="s">
        <v>112</v>
      </c>
      <c r="D178" s="17" t="s">
        <v>308</v>
      </c>
      <c r="E178" s="15" t="s">
        <v>130</v>
      </c>
      <c r="F178" s="15" t="s">
        <v>59</v>
      </c>
      <c r="G178" s="15" t="s">
        <v>21</v>
      </c>
      <c r="H178" s="18"/>
      <c r="I178" s="15"/>
      <c r="J178" s="15" t="n">
        <v>0</v>
      </c>
      <c r="K178" s="18" t="str">
        <f aca="false">IF(J178&gt;=5,"Done",IF(H178="","",H178+CHOOSE(J178+1,1,3,7,21,60)))</f>
        <v/>
      </c>
      <c r="L178" s="16"/>
    </row>
    <row r="179" customFormat="false" ht="15" hidden="false" customHeight="false" outlineLevel="0" collapsed="false">
      <c r="A179" s="15" t="n">
        <v>178</v>
      </c>
      <c r="B179" s="15" t="n">
        <v>15</v>
      </c>
      <c r="C179" s="16" t="s">
        <v>112</v>
      </c>
      <c r="D179" s="17" t="s">
        <v>309</v>
      </c>
      <c r="E179" s="15" t="s">
        <v>130</v>
      </c>
      <c r="F179" s="15" t="s">
        <v>59</v>
      </c>
      <c r="G179" s="15" t="s">
        <v>21</v>
      </c>
      <c r="H179" s="18"/>
      <c r="I179" s="15"/>
      <c r="J179" s="15" t="n">
        <v>0</v>
      </c>
      <c r="K179" s="18" t="str">
        <f aca="false">IF(J179&gt;=5,"Done",IF(H179="","",H179+CHOOSE(J179+1,1,3,7,21,60)))</f>
        <v/>
      </c>
      <c r="L179" s="16"/>
    </row>
    <row r="180" customFormat="false" ht="15" hidden="false" customHeight="false" outlineLevel="0" collapsed="false">
      <c r="A180" s="15" t="n">
        <v>179</v>
      </c>
      <c r="B180" s="15" t="n">
        <v>15</v>
      </c>
      <c r="C180" s="16" t="s">
        <v>112</v>
      </c>
      <c r="D180" s="17" t="s">
        <v>310</v>
      </c>
      <c r="E180" s="15" t="s">
        <v>130</v>
      </c>
      <c r="F180" s="15" t="s">
        <v>59</v>
      </c>
      <c r="G180" s="15" t="s">
        <v>21</v>
      </c>
      <c r="H180" s="18"/>
      <c r="I180" s="15"/>
      <c r="J180" s="15" t="n">
        <v>0</v>
      </c>
      <c r="K180" s="18" t="str">
        <f aca="false">IF(J180&gt;=5,"Done",IF(H180="","",H180+CHOOSE(J180+1,1,3,7,21,60)))</f>
        <v/>
      </c>
      <c r="L180" s="16"/>
    </row>
    <row r="181" customFormat="false" ht="15" hidden="false" customHeight="false" outlineLevel="0" collapsed="false">
      <c r="A181" s="15" t="n">
        <v>180</v>
      </c>
      <c r="B181" s="15" t="n">
        <v>15</v>
      </c>
      <c r="C181" s="16" t="s">
        <v>112</v>
      </c>
      <c r="D181" s="17" t="s">
        <v>311</v>
      </c>
      <c r="E181" s="15" t="s">
        <v>130</v>
      </c>
      <c r="F181" s="15" t="s">
        <v>59</v>
      </c>
      <c r="G181" s="15" t="s">
        <v>21</v>
      </c>
      <c r="H181" s="18"/>
      <c r="I181" s="15"/>
      <c r="J181" s="15" t="n">
        <v>0</v>
      </c>
      <c r="K181" s="18" t="str">
        <f aca="false">IF(J181&gt;=5,"Done",IF(H181="","",H181+CHOOSE(J181+1,1,3,7,21,60)))</f>
        <v/>
      </c>
      <c r="L181" s="16"/>
    </row>
    <row r="182" customFormat="false" ht="15" hidden="false" customHeight="false" outlineLevel="0" collapsed="false">
      <c r="A182" s="15" t="n">
        <v>181</v>
      </c>
      <c r="B182" s="15" t="n">
        <v>15</v>
      </c>
      <c r="C182" s="16" t="s">
        <v>112</v>
      </c>
      <c r="D182" s="17" t="s">
        <v>312</v>
      </c>
      <c r="E182" s="15" t="s">
        <v>130</v>
      </c>
      <c r="F182" s="15" t="s">
        <v>61</v>
      </c>
      <c r="G182" s="15" t="s">
        <v>21</v>
      </c>
      <c r="H182" s="18"/>
      <c r="I182" s="15"/>
      <c r="J182" s="15" t="n">
        <v>0</v>
      </c>
      <c r="K182" s="18" t="str">
        <f aca="false">IF(J182&gt;=5,"Done",IF(H182="","",H182+CHOOSE(J182+1,1,3,7,21,60)))</f>
        <v/>
      </c>
      <c r="L182" s="16"/>
    </row>
    <row r="183" customFormat="false" ht="15" hidden="false" customHeight="false" outlineLevel="0" collapsed="false">
      <c r="A183" s="15" t="n">
        <v>182</v>
      </c>
      <c r="B183" s="15" t="n">
        <v>15</v>
      </c>
      <c r="C183" s="16" t="s">
        <v>112</v>
      </c>
      <c r="D183" s="17" t="s">
        <v>313</v>
      </c>
      <c r="E183" s="15" t="s">
        <v>130</v>
      </c>
      <c r="F183" s="15" t="s">
        <v>61</v>
      </c>
      <c r="G183" s="15" t="s">
        <v>21</v>
      </c>
      <c r="H183" s="18"/>
      <c r="I183" s="15"/>
      <c r="J183" s="15" t="n">
        <v>0</v>
      </c>
      <c r="K183" s="18" t="str">
        <f aca="false">IF(J183&gt;=5,"Done",IF(H183="","",H183+CHOOSE(J183+1,1,3,7,21,60)))</f>
        <v/>
      </c>
      <c r="L183" s="16"/>
    </row>
    <row r="184" customFormat="false" ht="15" hidden="false" customHeight="false" outlineLevel="0" collapsed="false">
      <c r="A184" s="15" t="n">
        <v>183</v>
      </c>
      <c r="B184" s="15" t="n">
        <v>15</v>
      </c>
      <c r="C184" s="16" t="s">
        <v>112</v>
      </c>
      <c r="D184" s="17" t="s">
        <v>314</v>
      </c>
      <c r="E184" s="15" t="s">
        <v>130</v>
      </c>
      <c r="F184" s="15" t="s">
        <v>61</v>
      </c>
      <c r="G184" s="15" t="s">
        <v>21</v>
      </c>
      <c r="H184" s="18"/>
      <c r="I184" s="15"/>
      <c r="J184" s="15" t="n">
        <v>0</v>
      </c>
      <c r="K184" s="18" t="str">
        <f aca="false">IF(J184&gt;=5,"Done",IF(H184="","",H184+CHOOSE(J184+1,1,3,7,21,60)))</f>
        <v/>
      </c>
      <c r="L184" s="16"/>
    </row>
    <row r="185" customFormat="false" ht="15" hidden="false" customHeight="false" outlineLevel="0" collapsed="false">
      <c r="A185" s="15" t="n">
        <v>184</v>
      </c>
      <c r="B185" s="15" t="n">
        <v>15</v>
      </c>
      <c r="C185" s="16" t="s">
        <v>112</v>
      </c>
      <c r="D185" s="17" t="s">
        <v>315</v>
      </c>
      <c r="E185" s="15" t="s">
        <v>130</v>
      </c>
      <c r="F185" s="15" t="s">
        <v>61</v>
      </c>
      <c r="G185" s="15" t="s">
        <v>21</v>
      </c>
      <c r="H185" s="18"/>
      <c r="I185" s="15"/>
      <c r="J185" s="15" t="n">
        <v>0</v>
      </c>
      <c r="K185" s="18" t="str">
        <f aca="false">IF(J185&gt;=5,"Done",IF(H185="","",H185+CHOOSE(J185+1,1,3,7,21,60)))</f>
        <v/>
      </c>
      <c r="L185" s="16"/>
    </row>
    <row r="186" customFormat="false" ht="15" hidden="false" customHeight="false" outlineLevel="0" collapsed="false">
      <c r="A186" s="15" t="n">
        <v>185</v>
      </c>
      <c r="B186" s="15" t="n">
        <v>15</v>
      </c>
      <c r="C186" s="16" t="s">
        <v>112</v>
      </c>
      <c r="D186" s="17" t="s">
        <v>316</v>
      </c>
      <c r="E186" s="15" t="s">
        <v>130</v>
      </c>
      <c r="F186" s="15" t="s">
        <v>61</v>
      </c>
      <c r="G186" s="15" t="s">
        <v>21</v>
      </c>
      <c r="H186" s="18"/>
      <c r="I186" s="15"/>
      <c r="J186" s="15" t="n">
        <v>0</v>
      </c>
      <c r="K186" s="18" t="str">
        <f aca="false">IF(J186&gt;=5,"Done",IF(H186="","",H186+CHOOSE(J186+1,1,3,7,21,60)))</f>
        <v/>
      </c>
      <c r="L186" s="16"/>
    </row>
    <row r="187" customFormat="false" ht="15" hidden="false" customHeight="false" outlineLevel="0" collapsed="false">
      <c r="A187" s="15" t="n">
        <v>186</v>
      </c>
      <c r="B187" s="15" t="n">
        <v>15</v>
      </c>
      <c r="C187" s="16" t="s">
        <v>112</v>
      </c>
      <c r="D187" s="17" t="s">
        <v>317</v>
      </c>
      <c r="E187" s="15" t="s">
        <v>130</v>
      </c>
      <c r="F187" s="15" t="s">
        <v>61</v>
      </c>
      <c r="G187" s="15" t="s">
        <v>21</v>
      </c>
      <c r="H187" s="18"/>
      <c r="I187" s="15"/>
      <c r="J187" s="15" t="n">
        <v>0</v>
      </c>
      <c r="K187" s="18" t="str">
        <f aca="false">IF(J187&gt;=5,"Done",IF(H187="","",H187+CHOOSE(J187+1,1,3,7,21,60)))</f>
        <v/>
      </c>
      <c r="L187" s="16"/>
    </row>
    <row r="188" customFormat="false" ht="15" hidden="false" customHeight="false" outlineLevel="0" collapsed="false">
      <c r="A188" s="15" t="n">
        <v>187</v>
      </c>
      <c r="B188" s="15" t="n">
        <v>15</v>
      </c>
      <c r="C188" s="16" t="s">
        <v>112</v>
      </c>
      <c r="D188" s="17" t="s">
        <v>318</v>
      </c>
      <c r="E188" s="15" t="s">
        <v>130</v>
      </c>
      <c r="F188" s="15" t="s">
        <v>61</v>
      </c>
      <c r="G188" s="15" t="s">
        <v>21</v>
      </c>
      <c r="H188" s="18"/>
      <c r="I188" s="15"/>
      <c r="J188" s="15" t="n">
        <v>0</v>
      </c>
      <c r="K188" s="18" t="str">
        <f aca="false">IF(J188&gt;=5,"Done",IF(H188="","",H188+CHOOSE(J188+1,1,3,7,21,60)))</f>
        <v/>
      </c>
      <c r="L188" s="16"/>
    </row>
    <row r="189" customFormat="false" ht="15" hidden="false" customHeight="false" outlineLevel="0" collapsed="false">
      <c r="A189" s="15" t="n">
        <v>188</v>
      </c>
      <c r="B189" s="15" t="n">
        <v>16</v>
      </c>
      <c r="C189" s="16" t="s">
        <v>114</v>
      </c>
      <c r="D189" s="17" t="s">
        <v>319</v>
      </c>
      <c r="E189" s="15" t="s">
        <v>130</v>
      </c>
      <c r="F189" s="15" t="s">
        <v>59</v>
      </c>
      <c r="G189" s="15" t="s">
        <v>21</v>
      </c>
      <c r="H189" s="18"/>
      <c r="I189" s="15"/>
      <c r="J189" s="15" t="n">
        <v>0</v>
      </c>
      <c r="K189" s="18" t="str">
        <f aca="false">IF(J189&gt;=5,"Done",IF(H189="","",H189+CHOOSE(J189+1,1,3,7,21,60)))</f>
        <v/>
      </c>
      <c r="L189" s="16"/>
    </row>
    <row r="190" customFormat="false" ht="15" hidden="false" customHeight="false" outlineLevel="0" collapsed="false">
      <c r="A190" s="15" t="n">
        <v>189</v>
      </c>
      <c r="B190" s="15" t="n">
        <v>16</v>
      </c>
      <c r="C190" s="16" t="s">
        <v>114</v>
      </c>
      <c r="D190" s="17" t="s">
        <v>320</v>
      </c>
      <c r="E190" s="15" t="s">
        <v>130</v>
      </c>
      <c r="F190" s="15" t="s">
        <v>59</v>
      </c>
      <c r="G190" s="15" t="s">
        <v>21</v>
      </c>
      <c r="H190" s="18"/>
      <c r="I190" s="15"/>
      <c r="J190" s="15" t="n">
        <v>0</v>
      </c>
      <c r="K190" s="18" t="str">
        <f aca="false">IF(J190&gt;=5,"Done",IF(H190="","",H190+CHOOSE(J190+1,1,3,7,21,60)))</f>
        <v/>
      </c>
      <c r="L190" s="16"/>
    </row>
    <row r="191" customFormat="false" ht="15" hidden="false" customHeight="false" outlineLevel="0" collapsed="false">
      <c r="A191" s="15" t="n">
        <v>190</v>
      </c>
      <c r="B191" s="15" t="n">
        <v>16</v>
      </c>
      <c r="C191" s="16" t="s">
        <v>114</v>
      </c>
      <c r="D191" s="17" t="s">
        <v>321</v>
      </c>
      <c r="E191" s="15" t="s">
        <v>130</v>
      </c>
      <c r="F191" s="15" t="s">
        <v>59</v>
      </c>
      <c r="G191" s="15" t="s">
        <v>21</v>
      </c>
      <c r="H191" s="18"/>
      <c r="I191" s="15"/>
      <c r="J191" s="15" t="n">
        <v>0</v>
      </c>
      <c r="K191" s="18" t="str">
        <f aca="false">IF(J191&gt;=5,"Done",IF(H191="","",H191+CHOOSE(J191+1,1,3,7,21,60)))</f>
        <v/>
      </c>
      <c r="L191" s="16"/>
    </row>
    <row r="192" customFormat="false" ht="15" hidden="false" customHeight="false" outlineLevel="0" collapsed="false">
      <c r="A192" s="15" t="n">
        <v>191</v>
      </c>
      <c r="B192" s="15" t="n">
        <v>16</v>
      </c>
      <c r="C192" s="16" t="s">
        <v>114</v>
      </c>
      <c r="D192" s="17" t="s">
        <v>322</v>
      </c>
      <c r="E192" s="15" t="s">
        <v>130</v>
      </c>
      <c r="F192" s="15" t="s">
        <v>59</v>
      </c>
      <c r="G192" s="15" t="s">
        <v>21</v>
      </c>
      <c r="H192" s="18"/>
      <c r="I192" s="15"/>
      <c r="J192" s="15" t="n">
        <v>0</v>
      </c>
      <c r="K192" s="18" t="str">
        <f aca="false">IF(J192&gt;=5,"Done",IF(H192="","",H192+CHOOSE(J192+1,1,3,7,21,60)))</f>
        <v/>
      </c>
      <c r="L192" s="16"/>
    </row>
    <row r="193" customFormat="false" ht="15" hidden="false" customHeight="false" outlineLevel="0" collapsed="false">
      <c r="A193" s="15" t="n">
        <v>192</v>
      </c>
      <c r="B193" s="15" t="n">
        <v>16</v>
      </c>
      <c r="C193" s="16" t="s">
        <v>114</v>
      </c>
      <c r="D193" s="17" t="s">
        <v>323</v>
      </c>
      <c r="E193" s="15" t="s">
        <v>130</v>
      </c>
      <c r="F193" s="15" t="s">
        <v>59</v>
      </c>
      <c r="G193" s="15" t="s">
        <v>21</v>
      </c>
      <c r="H193" s="18"/>
      <c r="I193" s="15"/>
      <c r="J193" s="15" t="n">
        <v>0</v>
      </c>
      <c r="K193" s="18" t="str">
        <f aca="false">IF(J193&gt;=5,"Done",IF(H193="","",H193+CHOOSE(J193+1,1,3,7,21,60)))</f>
        <v/>
      </c>
      <c r="L193" s="16"/>
    </row>
    <row r="194" customFormat="false" ht="15" hidden="false" customHeight="false" outlineLevel="0" collapsed="false">
      <c r="A194" s="15" t="n">
        <v>193</v>
      </c>
      <c r="B194" s="15" t="n">
        <v>16</v>
      </c>
      <c r="C194" s="16" t="s">
        <v>114</v>
      </c>
      <c r="D194" s="17" t="s">
        <v>324</v>
      </c>
      <c r="E194" s="15" t="s">
        <v>130</v>
      </c>
      <c r="F194" s="15" t="s">
        <v>59</v>
      </c>
      <c r="G194" s="15" t="s">
        <v>21</v>
      </c>
      <c r="H194" s="18"/>
      <c r="I194" s="15"/>
      <c r="J194" s="15" t="n">
        <v>0</v>
      </c>
      <c r="K194" s="18" t="str">
        <f aca="false">IF(J194&gt;=5,"Done",IF(H194="","",H194+CHOOSE(J194+1,1,3,7,21,60)))</f>
        <v/>
      </c>
      <c r="L194" s="16"/>
    </row>
    <row r="195" customFormat="false" ht="15" hidden="false" customHeight="false" outlineLevel="0" collapsed="false">
      <c r="A195" s="15" t="n">
        <v>194</v>
      </c>
      <c r="B195" s="15" t="n">
        <v>16</v>
      </c>
      <c r="C195" s="16" t="s">
        <v>114</v>
      </c>
      <c r="D195" s="17" t="s">
        <v>325</v>
      </c>
      <c r="E195" s="15" t="s">
        <v>130</v>
      </c>
      <c r="F195" s="15" t="s">
        <v>61</v>
      </c>
      <c r="G195" s="15" t="s">
        <v>21</v>
      </c>
      <c r="H195" s="18"/>
      <c r="I195" s="15"/>
      <c r="J195" s="15" t="n">
        <v>0</v>
      </c>
      <c r="K195" s="18" t="str">
        <f aca="false">IF(J195&gt;=5,"Done",IF(H195="","",H195+CHOOSE(J195+1,1,3,7,21,60)))</f>
        <v/>
      </c>
      <c r="L195" s="16"/>
    </row>
    <row r="196" customFormat="false" ht="15" hidden="false" customHeight="false" outlineLevel="0" collapsed="false">
      <c r="A196" s="15" t="n">
        <v>195</v>
      </c>
      <c r="B196" s="15" t="n">
        <v>16</v>
      </c>
      <c r="C196" s="16" t="s">
        <v>114</v>
      </c>
      <c r="D196" s="17" t="s">
        <v>326</v>
      </c>
      <c r="E196" s="15" t="s">
        <v>130</v>
      </c>
      <c r="F196" s="15" t="s">
        <v>61</v>
      </c>
      <c r="G196" s="15" t="s">
        <v>21</v>
      </c>
      <c r="H196" s="18"/>
      <c r="I196" s="15"/>
      <c r="J196" s="15" t="n">
        <v>0</v>
      </c>
      <c r="K196" s="18" t="str">
        <f aca="false">IF(J196&gt;=5,"Done",IF(H196="","",H196+CHOOSE(J196+1,1,3,7,21,60)))</f>
        <v/>
      </c>
      <c r="L196" s="16"/>
    </row>
    <row r="197" customFormat="false" ht="15" hidden="false" customHeight="false" outlineLevel="0" collapsed="false">
      <c r="A197" s="15" t="n">
        <v>196</v>
      </c>
      <c r="B197" s="15" t="n">
        <v>16</v>
      </c>
      <c r="C197" s="16" t="s">
        <v>114</v>
      </c>
      <c r="D197" s="17" t="s">
        <v>327</v>
      </c>
      <c r="E197" s="15" t="s">
        <v>130</v>
      </c>
      <c r="F197" s="15" t="s">
        <v>61</v>
      </c>
      <c r="G197" s="15" t="s">
        <v>21</v>
      </c>
      <c r="H197" s="18"/>
      <c r="I197" s="15"/>
      <c r="J197" s="15" t="n">
        <v>0</v>
      </c>
      <c r="K197" s="18" t="str">
        <f aca="false">IF(J197&gt;=5,"Done",IF(H197="","",H197+CHOOSE(J197+1,1,3,7,21,60)))</f>
        <v/>
      </c>
      <c r="L197" s="16"/>
    </row>
    <row r="198" customFormat="false" ht="15" hidden="false" customHeight="false" outlineLevel="0" collapsed="false">
      <c r="A198" s="15" t="n">
        <v>197</v>
      </c>
      <c r="B198" s="15" t="n">
        <v>16</v>
      </c>
      <c r="C198" s="16" t="s">
        <v>114</v>
      </c>
      <c r="D198" s="17" t="s">
        <v>328</v>
      </c>
      <c r="E198" s="15" t="s">
        <v>130</v>
      </c>
      <c r="F198" s="15" t="s">
        <v>61</v>
      </c>
      <c r="G198" s="15" t="s">
        <v>21</v>
      </c>
      <c r="H198" s="18"/>
      <c r="I198" s="15"/>
      <c r="J198" s="15" t="n">
        <v>0</v>
      </c>
      <c r="K198" s="18" t="str">
        <f aca="false">IF(J198&gt;=5,"Done",IF(H198="","",H198+CHOOSE(J198+1,1,3,7,21,60)))</f>
        <v/>
      </c>
      <c r="L198" s="16"/>
    </row>
    <row r="199" customFormat="false" ht="15" hidden="false" customHeight="false" outlineLevel="0" collapsed="false">
      <c r="A199" s="15" t="n">
        <v>198</v>
      </c>
      <c r="B199" s="15" t="n">
        <v>16</v>
      </c>
      <c r="C199" s="16" t="s">
        <v>114</v>
      </c>
      <c r="D199" s="17" t="s">
        <v>329</v>
      </c>
      <c r="E199" s="15" t="s">
        <v>130</v>
      </c>
      <c r="F199" s="15" t="s">
        <v>61</v>
      </c>
      <c r="G199" s="15" t="s">
        <v>21</v>
      </c>
      <c r="H199" s="18"/>
      <c r="I199" s="15"/>
      <c r="J199" s="15" t="n">
        <v>0</v>
      </c>
      <c r="K199" s="18" t="str">
        <f aca="false">IF(J199&gt;=5,"Done",IF(H199="","",H199+CHOOSE(J199+1,1,3,7,21,60)))</f>
        <v/>
      </c>
      <c r="L199" s="16"/>
    </row>
    <row r="200" customFormat="false" ht="15" hidden="false" customHeight="false" outlineLevel="0" collapsed="false">
      <c r="A200" s="15" t="n">
        <v>199</v>
      </c>
      <c r="B200" s="15" t="n">
        <v>16</v>
      </c>
      <c r="C200" s="16" t="s">
        <v>114</v>
      </c>
      <c r="D200" s="17" t="s">
        <v>330</v>
      </c>
      <c r="E200" s="15" t="s">
        <v>130</v>
      </c>
      <c r="F200" s="15" t="s">
        <v>61</v>
      </c>
      <c r="G200" s="15" t="s">
        <v>21</v>
      </c>
      <c r="H200" s="18"/>
      <c r="I200" s="15"/>
      <c r="J200" s="15" t="n">
        <v>0</v>
      </c>
      <c r="K200" s="18" t="str">
        <f aca="false">IF(J200&gt;=5,"Done",IF(H200="","",H200+CHOOSE(J200+1,1,3,7,21,60)))</f>
        <v/>
      </c>
      <c r="L200" s="16"/>
    </row>
    <row r="201" customFormat="false" ht="15" hidden="false" customHeight="false" outlineLevel="0" collapsed="false">
      <c r="A201" s="15" t="n">
        <v>200</v>
      </c>
      <c r="B201" s="15" t="n">
        <v>16</v>
      </c>
      <c r="C201" s="16" t="s">
        <v>114</v>
      </c>
      <c r="D201" s="17" t="s">
        <v>331</v>
      </c>
      <c r="E201" s="15" t="s">
        <v>130</v>
      </c>
      <c r="F201" s="15" t="s">
        <v>61</v>
      </c>
      <c r="G201" s="15" t="s">
        <v>21</v>
      </c>
      <c r="H201" s="18"/>
      <c r="I201" s="15"/>
      <c r="J201" s="15" t="n">
        <v>0</v>
      </c>
      <c r="K201" s="18" t="str">
        <f aca="false">IF(J201&gt;=5,"Done",IF(H201="","",H201+CHOOSE(J201+1,1,3,7,21,60)))</f>
        <v/>
      </c>
      <c r="L201" s="16"/>
    </row>
  </sheetData>
  <autoFilter ref="A1:L201"/>
  <conditionalFormatting sqref="G2:G201">
    <cfRule type="expression" priority="2" aboveAverage="0" equalAverage="0" bottom="0" percent="0" rank="0" text="" dxfId="6">
      <formula>$G2="Mastered"</formula>
    </cfRule>
    <cfRule type="expression" priority="3" aboveAverage="0" equalAverage="0" bottom="0" percent="0" rank="0" text="" dxfId="7">
      <formula>$G2="Solved"</formula>
    </cfRule>
    <cfRule type="expression" priority="4" aboveAverage="0" equalAverage="0" bottom="0" percent="0" rank="0" text="" dxfId="8">
      <formula>$G2="Hint-solved"</formula>
    </cfRule>
  </conditionalFormatting>
  <conditionalFormatting sqref="K2:K201">
    <cfRule type="expression" priority="5" aboveAverage="0" equalAverage="0" bottom="0" percent="0" rank="0" text="" dxfId="9">
      <formula>AND(ISNUMBER($K2),$K2&lt;=TODAY())</formula>
    </cfRule>
  </conditionalFormatting>
  <conditionalFormatting sqref="E2:E201">
    <cfRule type="expression" priority="6" aboveAverage="0" equalAverage="0" bottom="0" percent="0" rank="0" text="" dxfId="10">
      <formula>$E2="Hard"</formula>
    </cfRule>
  </conditionalFormatting>
  <dataValidations count="2">
    <dataValidation allowBlank="false" errorStyle="stop" operator="between" showDropDown="false" showErrorMessage="false" showInputMessage="false" sqref="G2:G201" type="list">
      <formula1>"Todo,Hint-solved,Solved,Mastered"</formula1>
      <formula2>0</formula2>
    </dataValidation>
    <dataValidation allowBlank="false" errorStyle="stop" operator="between" showDropDown="false" showErrorMessage="false" showInputMessage="false" sqref="J2:J201" type="whole">
      <formula1>0</formula1>
      <formula2>5</formula2>
    </dataValidation>
  </dataValidations>
  <hyperlinks>
    <hyperlink ref="D2" r:id="rId1" display="Find All Duplicates in an Array"/>
    <hyperlink ref="D3" r:id="rId2" display="Subarray Product Less Than K"/>
    <hyperlink ref="D4" r:id="rId3" display="Remove Duplicates from Sorted Array II"/>
    <hyperlink ref="D5" r:id="rId4" display="H Index"/>
    <hyperlink ref="D6" r:id="rId5" display="Diagonal Traverse"/>
    <hyperlink ref="D7" r:id="rId6" display="Spiral Matrix II"/>
    <hyperlink ref="D8" r:id="rId7" display="Search a 2D Matrix II"/>
    <hyperlink ref="D9" r:id="rId8" display="Shortest Unsorted Continuous Subarray"/>
    <hyperlink ref="D10" r:id="rId9" display="Sort Characters by Frequency"/>
    <hyperlink ref="D11" r:id="rId10" display="Corporate Flight Bookings"/>
    <hyperlink ref="D12" r:id="rId11" display="Longest Mountain in Array"/>
    <hyperlink ref="D13" r:id="rId12" display="Valid Triangle Number"/>
    <hyperlink ref="D14" r:id="rId13" display="Array Nesting"/>
    <hyperlink ref="D15" r:id="rId14" display="4sum II"/>
    <hyperlink ref="D16" r:id="rId15" display="Brick Wall"/>
    <hyperlink ref="D17" r:id="rId16" display="Subarray Sums Divisible by K"/>
    <hyperlink ref="D18" r:id="rId17" display="Binary Subarrays with Sum"/>
    <hyperlink ref="D19" r:id="rId18" display="Make Sum Divisible by P"/>
    <hyperlink ref="D20" r:id="rId19" display="Check If Array Pairs Are Divisible by K"/>
    <hyperlink ref="D21" r:id="rId20" display="Random Pick with Weight"/>
    <hyperlink ref="D22" r:id="rId21" display="Custom Sort String"/>
    <hyperlink ref="D23" r:id="rId22" display="Find Duplicate File in System"/>
    <hyperlink ref="D24" r:id="rId23" display="Minimum Number of Steps to Make Two Strings Anagram"/>
    <hyperlink ref="D25" r:id="rId24" display="Find and Replace Pattern"/>
    <hyperlink ref="D26" r:id="rId25" display="Longest Harmonious Subsequence"/>
    <hyperlink ref="D27" r:id="rId26" display="Isomorphic Strings"/>
    <hyperlink ref="D28" r:id="rId27" display="Get Equal Substrings Within Budget"/>
    <hyperlink ref="D29" r:id="rId28" display="Replace the Substring for Balanced String"/>
    <hyperlink ref="D30" r:id="rId29" display="Grumpy Bookstore Owner"/>
    <hyperlink ref="D31" r:id="rId30" display="Longest Nice Subarray"/>
    <hyperlink ref="D32" r:id="rId31" display="Maximum Erasure Value"/>
    <hyperlink ref="D33" r:id="rId32" display="Frequency of the Most Frequent Element"/>
    <hyperlink ref="D34" r:id="rId33" display="Longest Turbulent Subarray"/>
    <hyperlink ref="D35" r:id="rId34" display="Find K Closest Elements"/>
    <hyperlink ref="D36" r:id="rId35" display="Push Dominoes"/>
    <hyperlink ref="D37" r:id="rId36" display="3sum with Multiplicity"/>
    <hyperlink ref="D38" r:id="rId37" display="Number of Subarrays with Bounded Maximum"/>
    <hyperlink ref="D39" r:id="rId38" display="Valid Palindrome II"/>
    <hyperlink ref="D40" r:id="rId39" display="Next Greater Element II"/>
    <hyperlink ref="D41" r:id="rId40" display="132 Pattern"/>
    <hyperlink ref="D42" r:id="rId41" display="Remove Duplicate Letters"/>
    <hyperlink ref="D43" r:id="rId42" display="Simplify Path"/>
    <hyperlink ref="D44" r:id="rId43" display="Score of Parentheses"/>
    <hyperlink ref="D45" r:id="rId44" display="Minimum Remove to Make Valid Parentheses"/>
    <hyperlink ref="D46" r:id="rId45" display="Validate Stack Sequences"/>
    <hyperlink ref="D47" r:id="rId46" display="Maximum Width Ramp"/>
    <hyperlink ref="D48" r:id="rId47" display="Remove All Adjacent Duplicates in String II"/>
    <hyperlink ref="D49" r:id="rId48" display="Exclusive Time of Functions"/>
    <hyperlink ref="D50" r:id="rId49" display="Sum of Subarray Ranges"/>
    <hyperlink ref="D51" r:id="rId50" display="Design Circular Deque"/>
    <hyperlink ref="D52" r:id="rId51" display="Minimum Add to Make Parentheses Valid"/>
    <hyperlink ref="D53" r:id="rId52" display="Find the Smallest Divisor Given a Threshold"/>
    <hyperlink ref="D54" r:id="rId53" display="Minimum Time to Complete Trips"/>
    <hyperlink ref="D55" r:id="rId54" display="Maximum Candies Allocated to K Children"/>
    <hyperlink ref="D56" r:id="rId55" display="Heaters"/>
    <hyperlink ref="D57" r:id="rId56" display="Successful Pairs of Spells and Potions"/>
    <hyperlink ref="D58" r:id="rId57" display="Peak Index in a Mountain Array"/>
    <hyperlink ref="D59" r:id="rId58" display="Find Right Interval"/>
    <hyperlink ref="D60" r:id="rId59" display="H Index II"/>
    <hyperlink ref="D61" r:id="rId60" display="Minimum Speed to Arrive on Time"/>
    <hyperlink ref="D62" r:id="rId61" display="Minimized Maximum of Products Distributed to Any Store"/>
    <hyperlink ref="D63" r:id="rId62" display="Maximum Value at a Given Index in a Bounded Array"/>
    <hyperlink ref="D64" r:id="rId63" display="Minimum Limit of Balls in a Bag"/>
    <hyperlink ref="D65" r:id="rId64" display="Delete the Middle Node of a Linked List"/>
    <hyperlink ref="D66" r:id="rId65" display="Maximum Twin Sum of a Linked List"/>
    <hyperlink ref="D67" r:id="rId66" display="Split Linked List in Parts"/>
    <hyperlink ref="D68" r:id="rId67" display="Next Greater Node in Linked List"/>
    <hyperlink ref="D69" r:id="rId68" display="Add Two Numbers II"/>
    <hyperlink ref="D70" r:id="rId69" display="Convert Sorted List to Binary Search Tree"/>
    <hyperlink ref="D71" r:id="rId70" display="Insertion Sort List"/>
    <hyperlink ref="D72" r:id="rId71" display="Flatten a Multilevel Doubly Linked List"/>
    <hyperlink ref="D73" r:id="rId72" display="Design Linked List"/>
    <hyperlink ref="D74" r:id="rId73" display="Merge in Between Linked Lists"/>
    <hyperlink ref="D75" r:id="rId74" display="Remove Zero Sum Consecutive Nodes from Linked List"/>
    <hyperlink ref="D76" r:id="rId75" display="Swapping Nodes in a Linked List"/>
    <hyperlink ref="D77" r:id="rId76" display="Construct Binary Tree from Inorder and Postorder Traversal"/>
    <hyperlink ref="D78" r:id="rId77" display="Construct Binary Search Tree from Preorder Traversal"/>
    <hyperlink ref="D79" r:id="rId78" display="Trim a Binary Search Tree"/>
    <hyperlink ref="D80" r:id="rId79" display="Insert Into a Binary Search Tree"/>
    <hyperlink ref="D81" r:id="rId80" display="Convert Bst to Greater Tree"/>
    <hyperlink ref="D82" r:id="rId81" display="Binary Tree Level Order Traversal II"/>
    <hyperlink ref="D83" r:id="rId82" display="Find Largest Value in Each Tree Row"/>
    <hyperlink ref="D84" r:id="rId83" display="Populating Next Right Pointers in Each Node II"/>
    <hyperlink ref="D85" r:id="rId84" display="Longest Univalue Path"/>
    <hyperlink ref="D86" r:id="rId85" display="Binary Tree Pruning"/>
    <hyperlink ref="D87" r:id="rId86" display="Distribute Coins in Binary Tree"/>
    <hyperlink ref="D88" r:id="rId87" display="Amount of Time for Binary Tree to Be Infected"/>
    <hyperlink ref="D89" r:id="rId88" display="Step by Step Directions from a Binary Tree Node to Another"/>
    <hyperlink ref="D90" r:id="rId89" display="Furthest Building You Can Reach"/>
    <hyperlink ref="D91" r:id="rId90" display="Process Tasks Using Servers"/>
    <hyperlink ref="D92" r:id="rId91" display="Single Threaded Cpu"/>
    <hyperlink ref="D93" r:id="rId92" display="Maximum Subsequence Score"/>
    <hyperlink ref="D94" r:id="rId93" display="Total Cost to Hire K Workers"/>
    <hyperlink ref="D95" r:id="rId94" display="Remove Stones to Minimize the Total"/>
    <hyperlink ref="D96" r:id="rId95" display="Longest Happy String"/>
    <hyperlink ref="D97" r:id="rId96" display="Two City Scheduling"/>
    <hyperlink ref="D98" r:id="rId97" display="Bag of Tokens"/>
    <hyperlink ref="D99" r:id="rId98" display="Advantage Shuffle"/>
    <hyperlink ref="D100" r:id="rId99" display="Minimum Increment to Make Array Unique"/>
    <hyperlink ref="D101" r:id="rId100" display="Video Stitching"/>
    <hyperlink ref="D102" r:id="rId101" display="Find Unique Binary String"/>
    <hyperlink ref="D103" r:id="rId102" display="The K Th Lexicographical String of All Happy Strings of a Given Length"/>
    <hyperlink ref="D104" r:id="rId103" display="Maximum Length of a Concatenated String with Unique Characters"/>
    <hyperlink ref="D105" r:id="rId104" display="Fair Distribution of Cookies"/>
    <hyperlink ref="D106" r:id="rId105" display="Increasing Subsequences"/>
    <hyperlink ref="D107" r:id="rId106" display="Letter Tile Possibilities"/>
    <hyperlink ref="D108" r:id="rId107" display="Numbers with Same Consecutive Differences"/>
    <hyperlink ref="D109" r:id="rId108" display="Construct the Lexicographically Largest Valid Sequence"/>
    <hyperlink ref="D110" r:id="rId109" display="Splitting a String Into Descending Consecutive Values"/>
    <hyperlink ref="D111" r:id="rId110" display="Count Sorted Vowel Strings"/>
    <hyperlink ref="D112" r:id="rId111" display="Find the Punishment Number of an Integer"/>
    <hyperlink ref="D113" r:id="rId112" display="Permutation Sequence"/>
    <hyperlink ref="D114" r:id="rId113" display="N Queens II"/>
    <hyperlink ref="D115" r:id="rId114" display="Keys and Rooms"/>
    <hyperlink ref="D116" r:id="rId115" display="All Paths from Source to Target"/>
    <hyperlink ref="D117" r:id="rId116" display="Number of Closed Islands"/>
    <hyperlink ref="D118" r:id="rId117" display="Count Sub Islands"/>
    <hyperlink ref="D119" r:id="rId118" display="Nearest Exit from Entrance in Maze"/>
    <hyperlink ref="D120" r:id="rId119" display="Minimum Genetic Mutation"/>
    <hyperlink ref="D121" r:id="rId120" display="Jump Game III"/>
    <hyperlink ref="D122" r:id="rId121" display="Time Needed to Inform All Employees"/>
    <hyperlink ref="D123" r:id="rId122" display="As Far from Land As Possible"/>
    <hyperlink ref="D124" r:id="rId123" display="Reorder Routes to Make All Paths Lead to the City Zero"/>
    <hyperlink ref="D125" r:id="rId124" display="Number of Operations to Make Network Connected"/>
    <hyperlink ref="D126" r:id="rId125" display="Minimum Number of Vertices to Reach All Nodes"/>
    <hyperlink ref="D127" r:id="rId126" display="Minimum Score of a Path Between Two Cities"/>
    <hyperlink ref="D128" r:id="rId127" display="Regions Cut by Slashes"/>
    <hyperlink ref="D129" r:id="rId128" display="Course Schedule IV"/>
    <hyperlink ref="D130" r:id="rId129" display="Minimum Time to Collect All Apples in a Tree"/>
    <hyperlink ref="D131" r:id="rId130" display="Count the Number of Complete Components"/>
    <hyperlink ref="D132" r:id="rId131" display="Validate Binary Tree Nodes"/>
    <hyperlink ref="D133" r:id="rId132" display="Maximal Network Rank"/>
    <hyperlink ref="D134" r:id="rId133" display="Remove Max Number of Edges to Keep Graph Fully Traversable"/>
    <hyperlink ref="D135" r:id="rId134" display="Largest Component Size by Common Factor"/>
    <hyperlink ref="D136" r:id="rId135" display="Find All People with Secret"/>
    <hyperlink ref="D137" r:id="rId136" display="Minimum Cost to Reach Destination in Time"/>
    <hyperlink ref="D138" r:id="rId137" display="Largest Color Value in a Directed Graph"/>
    <hyperlink ref="D139" r:id="rId138" display="Number of Dice Rolls with Target Sum"/>
    <hyperlink ref="D140" r:id="rId139" display="Knight Dialer"/>
    <hyperlink ref="D141" r:id="rId140" display="Solving Questions with Brainpower"/>
    <hyperlink ref="D142" r:id="rId141" display="Count Ways to Build Good Strings"/>
    <hyperlink ref="D143" r:id="rId142" display="2 Keys Keyboard"/>
    <hyperlink ref="D144" r:id="rId143" display="Best Sightseeing Pair"/>
    <hyperlink ref="D145" r:id="rId144" display="Ugly Number II"/>
    <hyperlink ref="D146" r:id="rId145" display="Maximum Subarray Sum with One Deletion"/>
    <hyperlink ref="D147" r:id="rId146" display="New 21 Game"/>
    <hyperlink ref="D148" r:id="rId147" display="Longest Ideal Subsequence"/>
    <hyperlink ref="D149" r:id="rId148" display="Maximum Length of Subarray with Positive Product"/>
    <hyperlink ref="D150" r:id="rId149" display="Minimum Cost Tree from Leaf Values"/>
    <hyperlink ref="D151" r:id="rId150" display="Count Number of Ways to Place Houses"/>
    <hyperlink ref="D152" r:id="rId151" display="Interval List Intersections"/>
    <hyperlink ref="D153" r:id="rId152" display="Remove Covered Intervals"/>
    <hyperlink ref="D154" r:id="rId153" display="Largest Number"/>
    <hyperlink ref="D155" r:id="rId154" display="Wiggle Sort II"/>
    <hyperlink ref="D156" r:id="rId155" display="Divide Intervals Into Minimum Number of Groups"/>
    <hyperlink ref="D157" r:id="rId156" display="Count Days Without Meetings"/>
    <hyperlink ref="D158" r:id="rId157" display="Where Will the Ball Fall"/>
    <hyperlink ref="D159" r:id="rId158" display="Minesweeper"/>
    <hyperlink ref="D160" r:id="rId159" display="Find Valid Matrix Given Row and Column Sums"/>
    <hyperlink ref="D161" r:id="rId160" display="Maximum Side Length of a Square with Sum Less Than or Equal to Threshold"/>
    <hyperlink ref="D162" r:id="rId161" display="Pancake Sorting"/>
    <hyperlink ref="D163" r:id="rId162" display="Number of Laser Beams in a Bank"/>
    <hyperlink ref="D164" r:id="rId163" display="Implement Magic Dictionary"/>
    <hyperlink ref="D165" r:id="rId164" display="Map Sum Pairs"/>
    <hyperlink ref="D166" r:id="rId165" display="Longest Word in Dictionary"/>
    <hyperlink ref="D167" r:id="rId166" display="Camelcase Matching"/>
    <hyperlink ref="D168" r:id="rId167" display="Encode and Decode Tinyurl"/>
    <hyperlink ref="D169" r:id="rId168" display="String Compression"/>
    <hyperlink ref="D170" r:id="rId169" display="Number of Matching Subsequences"/>
    <hyperlink ref="D171" r:id="rId170" display="Product of the Last K Numbers"/>
    <hyperlink ref="D172" r:id="rId171" display="Shuffle an Array"/>
    <hyperlink ref="D173" r:id="rId172" display="Linked List Random Node"/>
    <hyperlink ref="D174" r:id="rId173" display="Exam Room"/>
    <hyperlink ref="D175" r:id="rId174" display="Online Election"/>
    <hyperlink ref="D176" r:id="rId175" display="Stream of Characters"/>
    <hyperlink ref="D177" r:id="rId176" display="Bitwise and of Numbers Range"/>
    <hyperlink ref="D178" r:id="rId177" display="Total Hamming Distance"/>
    <hyperlink ref="D179" r:id="rId178" display="Minimum Flips to Make a or B Equal to C"/>
    <hyperlink ref="D180" r:id="rId179" display="Fraction to Recurring Decimal"/>
    <hyperlink ref="D181" r:id="rId180" display="Factorial Trailing Zeroes"/>
    <hyperlink ref="D182" r:id="rId181" display="Nth Digit"/>
    <hyperlink ref="D183" r:id="rId182" display="Rectangle Area"/>
    <hyperlink ref="D184" r:id="rId183" display="Reverse Integer"/>
    <hyperlink ref="D185" r:id="rId184" display="Bulb Switcher"/>
    <hyperlink ref="D186" r:id="rId185" display="Water and Jug Problem"/>
    <hyperlink ref="D187" r:id="rId186" display="Robot Bounded in Circle"/>
    <hyperlink ref="D188" r:id="rId187" display="Walking Robot Simulation"/>
    <hyperlink ref="D189" r:id="rId188" display="Rearrange Array Elements by Sign"/>
    <hyperlink ref="D190" r:id="rId189" display="Shortest Subarray to Be Removed to Make Array Sorted"/>
    <hyperlink ref="D191" r:id="rId190" display="Maximum Sum of Two Non Overlapping Subarrays"/>
    <hyperlink ref="D192" r:id="rId191" display="Lexicographically Smallest Equivalent String"/>
    <hyperlink ref="D193" r:id="rId192" display="Optimal Partition of String"/>
    <hyperlink ref="D194" r:id="rId193" display="Partition Array Such That Maximum Difference Is K"/>
    <hyperlink ref="D195" r:id="rId194" display="Sliding Subarray Beauty"/>
    <hyperlink ref="D196" r:id="rId195" display="Kth Largest Sum in a Binary Tree"/>
    <hyperlink ref="D197" r:id="rId196" display="Minimum Operations to Convert Number"/>
    <hyperlink ref="D198" r:id="rId197" display="Determine If Two Strings Are Close"/>
    <hyperlink ref="D199" r:id="rId198" display="Find Players with Zero or One Losses"/>
    <hyperlink ref="D200" r:id="rId199" display="Sequential Digits"/>
    <hyperlink ref="D201" r:id="rId200" display="Group the People Given the Group Size They Belong t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0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8"/>
    <col collapsed="false" customWidth="true" hidden="false" outlineLevel="0" max="7" min="4" style="0" width="10"/>
    <col collapsed="false" customWidth="true" hidden="false" outlineLevel="0" max="9" min="8" style="0" width="9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44"/>
    <col collapsed="false" customWidth="true" hidden="false" outlineLevel="0" max="13" min="13" style="0" width="26"/>
  </cols>
  <sheetData>
    <row r="1" customFormat="false" ht="16.15" hidden="false" customHeight="false" outlineLevel="0" collapsed="false">
      <c r="A1" s="19" t="s">
        <v>332</v>
      </c>
    </row>
    <row r="2" customFormat="false" ht="15" hidden="false" customHeight="false" outlineLevel="0" collapsed="false">
      <c r="A2" s="5" t="s">
        <v>333</v>
      </c>
    </row>
    <row r="4" customFormat="false" ht="31.5" hidden="false" customHeight="true" outlineLevel="0" collapsed="false">
      <c r="A4" s="9" t="s">
        <v>334</v>
      </c>
      <c r="B4" s="9" t="s">
        <v>335</v>
      </c>
      <c r="C4" s="9" t="s">
        <v>336</v>
      </c>
      <c r="D4" s="9" t="s">
        <v>337</v>
      </c>
      <c r="E4" s="9" t="s">
        <v>338</v>
      </c>
      <c r="F4" s="9" t="s">
        <v>339</v>
      </c>
      <c r="G4" s="9" t="s">
        <v>340</v>
      </c>
      <c r="H4" s="9" t="s">
        <v>341</v>
      </c>
      <c r="I4" s="9" t="s">
        <v>342</v>
      </c>
      <c r="J4" s="9" t="s">
        <v>343</v>
      </c>
      <c r="K4" s="9" t="s">
        <v>344</v>
      </c>
      <c r="L4" s="9" t="s">
        <v>345</v>
      </c>
      <c r="M4" s="9" t="s">
        <v>346</v>
      </c>
    </row>
    <row r="5" customFormat="false" ht="15" hidden="false" customHeight="false" outlineLevel="0" collapsed="false">
      <c r="A5" s="20" t="n">
        <v>46327</v>
      </c>
      <c r="B5" s="21" t="s">
        <v>347</v>
      </c>
      <c r="C5" s="21" t="s">
        <v>348</v>
      </c>
      <c r="D5" s="21" t="n">
        <v>8</v>
      </c>
      <c r="E5" s="21" t="n">
        <v>24</v>
      </c>
      <c r="F5" s="21"/>
      <c r="G5" s="21"/>
      <c r="H5" s="21" t="n">
        <f aca="false">IF(COUNT(D5:G5)=0,"",COUNT(D5:G5))</f>
        <v>2</v>
      </c>
      <c r="I5" s="21" t="n">
        <v>5400</v>
      </c>
      <c r="J5" s="21" t="n">
        <v>1620</v>
      </c>
      <c r="K5" s="21" t="s">
        <v>349</v>
      </c>
      <c r="L5" s="21" t="s">
        <v>350</v>
      </c>
      <c r="M5" s="21" t="s">
        <v>351</v>
      </c>
    </row>
    <row r="6" customFormat="false" ht="15" hidden="false" customHeight="false" outlineLevel="0" collapsed="false">
      <c r="A6" s="22"/>
      <c r="B6" s="23"/>
      <c r="C6" s="23"/>
      <c r="D6" s="23"/>
      <c r="E6" s="23"/>
      <c r="F6" s="23"/>
      <c r="G6" s="23"/>
      <c r="H6" s="23" t="str">
        <f aca="false">IF(COUNT(D6:G6)=0,"",COUNT(D6:G6))</f>
        <v/>
      </c>
      <c r="I6" s="23"/>
      <c r="J6" s="23"/>
      <c r="K6" s="23"/>
      <c r="L6" s="23"/>
      <c r="M6" s="23"/>
    </row>
    <row r="7" customFormat="false" ht="15" hidden="false" customHeight="false" outlineLevel="0" collapsed="false">
      <c r="A7" s="22"/>
      <c r="B7" s="23"/>
      <c r="C7" s="23"/>
      <c r="D7" s="23"/>
      <c r="E7" s="23"/>
      <c r="F7" s="23"/>
      <c r="G7" s="23"/>
      <c r="H7" s="23" t="str">
        <f aca="false">IF(COUNT(D7:G7)=0,"",COUNT(D7:G7))</f>
        <v/>
      </c>
      <c r="I7" s="23"/>
      <c r="J7" s="23"/>
      <c r="K7" s="23"/>
      <c r="L7" s="23"/>
      <c r="M7" s="23"/>
    </row>
    <row r="8" customFormat="false" ht="15" hidden="false" customHeight="false" outlineLevel="0" collapsed="false">
      <c r="A8" s="22"/>
      <c r="B8" s="23"/>
      <c r="C8" s="23"/>
      <c r="D8" s="23"/>
      <c r="E8" s="23"/>
      <c r="F8" s="23"/>
      <c r="G8" s="23"/>
      <c r="H8" s="23" t="str">
        <f aca="false">IF(COUNT(D8:G8)=0,"",COUNT(D8:G8))</f>
        <v/>
      </c>
      <c r="I8" s="23"/>
      <c r="J8" s="23"/>
      <c r="K8" s="23"/>
      <c r="L8" s="23"/>
      <c r="M8" s="23"/>
    </row>
    <row r="9" customFormat="false" ht="15" hidden="false" customHeight="false" outlineLevel="0" collapsed="false">
      <c r="A9" s="22"/>
      <c r="B9" s="23"/>
      <c r="C9" s="23"/>
      <c r="D9" s="23"/>
      <c r="E9" s="23"/>
      <c r="F9" s="23"/>
      <c r="G9" s="23"/>
      <c r="H9" s="23" t="str">
        <f aca="false">IF(COUNT(D9:G9)=0,"",COUNT(D9:G9))</f>
        <v/>
      </c>
      <c r="I9" s="23"/>
      <c r="J9" s="23"/>
      <c r="K9" s="23"/>
      <c r="L9" s="23"/>
      <c r="M9" s="23"/>
    </row>
    <row r="10" customFormat="false" ht="15" hidden="false" customHeight="false" outlineLevel="0" collapsed="false">
      <c r="A10" s="22"/>
      <c r="B10" s="23"/>
      <c r="C10" s="23"/>
      <c r="D10" s="23"/>
      <c r="E10" s="23"/>
      <c r="F10" s="23"/>
      <c r="G10" s="23"/>
      <c r="H10" s="23" t="str">
        <f aca="false">IF(COUNT(D10:G10)=0,"",COUNT(D10:G10))</f>
        <v/>
      </c>
      <c r="I10" s="23"/>
      <c r="J10" s="23"/>
      <c r="K10" s="23"/>
      <c r="L10" s="23"/>
      <c r="M10" s="23"/>
    </row>
    <row r="11" customFormat="false" ht="15" hidden="false" customHeight="false" outlineLevel="0" collapsed="false">
      <c r="A11" s="22"/>
      <c r="B11" s="23"/>
      <c r="C11" s="23"/>
      <c r="D11" s="23"/>
      <c r="E11" s="23"/>
      <c r="F11" s="23"/>
      <c r="G11" s="23"/>
      <c r="H11" s="23" t="str">
        <f aca="false">IF(COUNT(D11:G11)=0,"",COUNT(D11:G11))</f>
        <v/>
      </c>
      <c r="I11" s="23"/>
      <c r="J11" s="23"/>
      <c r="K11" s="23"/>
      <c r="L11" s="23"/>
      <c r="M11" s="23"/>
    </row>
    <row r="12" customFormat="false" ht="15" hidden="false" customHeight="false" outlineLevel="0" collapsed="false">
      <c r="A12" s="22"/>
      <c r="B12" s="23"/>
      <c r="C12" s="23"/>
      <c r="D12" s="23"/>
      <c r="E12" s="23"/>
      <c r="F12" s="23"/>
      <c r="G12" s="23"/>
      <c r="H12" s="23" t="str">
        <f aca="false">IF(COUNT(D12:G12)=0,"",COUNT(D12:G12))</f>
        <v/>
      </c>
      <c r="I12" s="23"/>
      <c r="J12" s="23"/>
      <c r="K12" s="23"/>
      <c r="L12" s="23"/>
      <c r="M12" s="23"/>
    </row>
    <row r="13" customFormat="false" ht="15" hidden="false" customHeight="false" outlineLevel="0" collapsed="false">
      <c r="A13" s="22"/>
      <c r="B13" s="23"/>
      <c r="C13" s="23"/>
      <c r="D13" s="23"/>
      <c r="E13" s="23"/>
      <c r="F13" s="23"/>
      <c r="G13" s="23"/>
      <c r="H13" s="23" t="str">
        <f aca="false">IF(COUNT(D13:G13)=0,"",COUNT(D13:G13))</f>
        <v/>
      </c>
      <c r="I13" s="23"/>
      <c r="J13" s="23"/>
      <c r="K13" s="23"/>
      <c r="L13" s="23"/>
      <c r="M13" s="23"/>
    </row>
    <row r="14" customFormat="false" ht="15" hidden="false" customHeight="false" outlineLevel="0" collapsed="false">
      <c r="A14" s="22"/>
      <c r="B14" s="23"/>
      <c r="C14" s="23"/>
      <c r="D14" s="23"/>
      <c r="E14" s="23"/>
      <c r="F14" s="23"/>
      <c r="G14" s="23"/>
      <c r="H14" s="23" t="str">
        <f aca="false">IF(COUNT(D14:G14)=0,"",COUNT(D14:G14))</f>
        <v/>
      </c>
      <c r="I14" s="23"/>
      <c r="J14" s="23"/>
      <c r="K14" s="23"/>
      <c r="L14" s="23"/>
      <c r="M14" s="23"/>
    </row>
    <row r="15" customFormat="false" ht="15" hidden="false" customHeight="false" outlineLevel="0" collapsed="false">
      <c r="A15" s="22"/>
      <c r="B15" s="23"/>
      <c r="C15" s="23"/>
      <c r="D15" s="23"/>
      <c r="E15" s="23"/>
      <c r="F15" s="23"/>
      <c r="G15" s="23"/>
      <c r="H15" s="23" t="str">
        <f aca="false">IF(COUNT(D15:G15)=0,"",COUNT(D15:G15))</f>
        <v/>
      </c>
      <c r="I15" s="23"/>
      <c r="J15" s="23"/>
      <c r="K15" s="23"/>
      <c r="L15" s="23"/>
      <c r="M15" s="23"/>
    </row>
    <row r="16" customFormat="false" ht="15" hidden="false" customHeight="false" outlineLevel="0" collapsed="false">
      <c r="A16" s="22"/>
      <c r="B16" s="23"/>
      <c r="C16" s="23"/>
      <c r="D16" s="23"/>
      <c r="E16" s="23"/>
      <c r="F16" s="23"/>
      <c r="G16" s="23"/>
      <c r="H16" s="23" t="str">
        <f aca="false">IF(COUNT(D16:G16)=0,"",COUNT(D16:G16))</f>
        <v/>
      </c>
      <c r="I16" s="23"/>
      <c r="J16" s="23"/>
      <c r="K16" s="23"/>
      <c r="L16" s="23"/>
      <c r="M16" s="23"/>
    </row>
    <row r="17" customFormat="false" ht="15" hidden="false" customHeight="false" outlineLevel="0" collapsed="false">
      <c r="A17" s="22"/>
      <c r="B17" s="23"/>
      <c r="C17" s="23"/>
      <c r="D17" s="23"/>
      <c r="E17" s="23"/>
      <c r="F17" s="23"/>
      <c r="G17" s="23"/>
      <c r="H17" s="23" t="str">
        <f aca="false">IF(COUNT(D17:G17)=0,"",COUNT(D17:G17))</f>
        <v/>
      </c>
      <c r="I17" s="23"/>
      <c r="J17" s="23"/>
      <c r="K17" s="23"/>
      <c r="L17" s="23"/>
      <c r="M17" s="23"/>
    </row>
    <row r="18" customFormat="false" ht="15" hidden="false" customHeight="false" outlineLevel="0" collapsed="false">
      <c r="A18" s="22"/>
      <c r="B18" s="23"/>
      <c r="C18" s="23"/>
      <c r="D18" s="23"/>
      <c r="E18" s="23"/>
      <c r="F18" s="23"/>
      <c r="G18" s="23"/>
      <c r="H18" s="23" t="str">
        <f aca="false">IF(COUNT(D18:G18)=0,"",COUNT(D18:G18))</f>
        <v/>
      </c>
      <c r="I18" s="23"/>
      <c r="J18" s="23"/>
      <c r="K18" s="23"/>
      <c r="L18" s="23"/>
      <c r="M18" s="23"/>
    </row>
    <row r="19" customFormat="false" ht="15" hidden="false" customHeight="false" outlineLevel="0" collapsed="false">
      <c r="A19" s="22"/>
      <c r="B19" s="23"/>
      <c r="C19" s="23"/>
      <c r="D19" s="23"/>
      <c r="E19" s="23"/>
      <c r="F19" s="23"/>
      <c r="G19" s="23"/>
      <c r="H19" s="23" t="str">
        <f aca="false">IF(COUNT(D19:G19)=0,"",COUNT(D19:G19))</f>
        <v/>
      </c>
      <c r="I19" s="23"/>
      <c r="J19" s="23"/>
      <c r="K19" s="23"/>
      <c r="L19" s="23"/>
      <c r="M19" s="23"/>
    </row>
    <row r="20" customFormat="false" ht="15" hidden="false" customHeight="false" outlineLevel="0" collapsed="false">
      <c r="A20" s="22"/>
      <c r="B20" s="23"/>
      <c r="C20" s="23"/>
      <c r="D20" s="23"/>
      <c r="E20" s="23"/>
      <c r="F20" s="23"/>
      <c r="G20" s="23"/>
      <c r="H20" s="23" t="str">
        <f aca="false">IF(COUNT(D20:G20)=0,"",COUNT(D20:G20))</f>
        <v/>
      </c>
      <c r="I20" s="23"/>
      <c r="J20" s="23"/>
      <c r="K20" s="23"/>
      <c r="L20" s="23"/>
      <c r="M20" s="23"/>
    </row>
    <row r="21" customFormat="false" ht="15" hidden="false" customHeight="false" outlineLevel="0" collapsed="false">
      <c r="A21" s="22"/>
      <c r="B21" s="23"/>
      <c r="C21" s="23"/>
      <c r="D21" s="23"/>
      <c r="E21" s="23"/>
      <c r="F21" s="23"/>
      <c r="G21" s="23"/>
      <c r="H21" s="23" t="str">
        <f aca="false">IF(COUNT(D21:G21)=0,"",COUNT(D21:G21))</f>
        <v/>
      </c>
      <c r="I21" s="23"/>
      <c r="J21" s="23"/>
      <c r="K21" s="23"/>
      <c r="L21" s="23"/>
      <c r="M21" s="23"/>
    </row>
    <row r="22" customFormat="false" ht="15" hidden="false" customHeight="false" outlineLevel="0" collapsed="false">
      <c r="A22" s="22"/>
      <c r="B22" s="23"/>
      <c r="C22" s="23"/>
      <c r="D22" s="23"/>
      <c r="E22" s="23"/>
      <c r="F22" s="23"/>
      <c r="G22" s="23"/>
      <c r="H22" s="23" t="str">
        <f aca="false">IF(COUNT(D22:G22)=0,"",COUNT(D22:G22))</f>
        <v/>
      </c>
      <c r="I22" s="23"/>
      <c r="J22" s="23"/>
      <c r="K22" s="23"/>
      <c r="L22" s="23"/>
      <c r="M22" s="23"/>
    </row>
    <row r="23" customFormat="false" ht="15" hidden="false" customHeight="false" outlineLevel="0" collapsed="false">
      <c r="A23" s="22"/>
      <c r="B23" s="23"/>
      <c r="C23" s="23"/>
      <c r="D23" s="23"/>
      <c r="E23" s="23"/>
      <c r="F23" s="23"/>
      <c r="G23" s="23"/>
      <c r="H23" s="23" t="str">
        <f aca="false">IF(COUNT(D23:G23)=0,"",COUNT(D23:G23))</f>
        <v/>
      </c>
      <c r="I23" s="23"/>
      <c r="J23" s="23"/>
      <c r="K23" s="23"/>
      <c r="L23" s="23"/>
      <c r="M23" s="23"/>
    </row>
    <row r="24" customFormat="false" ht="15" hidden="false" customHeight="false" outlineLevel="0" collapsed="false">
      <c r="A24" s="22"/>
      <c r="B24" s="23"/>
      <c r="C24" s="23"/>
      <c r="D24" s="23"/>
      <c r="E24" s="23"/>
      <c r="F24" s="23"/>
      <c r="G24" s="23"/>
      <c r="H24" s="23" t="str">
        <f aca="false">IF(COUNT(D24:G24)=0,"",COUNT(D24:G24))</f>
        <v/>
      </c>
      <c r="I24" s="23"/>
      <c r="J24" s="23"/>
      <c r="K24" s="23"/>
      <c r="L24" s="23"/>
      <c r="M24" s="23"/>
    </row>
    <row r="25" customFormat="false" ht="15" hidden="false" customHeight="false" outlineLevel="0" collapsed="false">
      <c r="A25" s="22"/>
      <c r="B25" s="23"/>
      <c r="C25" s="23"/>
      <c r="D25" s="23"/>
      <c r="E25" s="23"/>
      <c r="F25" s="23"/>
      <c r="G25" s="23"/>
      <c r="H25" s="23" t="str">
        <f aca="false">IF(COUNT(D25:G25)=0,"",COUNT(D25:G25))</f>
        <v/>
      </c>
      <c r="I25" s="23"/>
      <c r="J25" s="23"/>
      <c r="K25" s="23"/>
      <c r="L25" s="23"/>
      <c r="M25" s="23"/>
    </row>
    <row r="26" customFormat="false" ht="15" hidden="false" customHeight="false" outlineLevel="0" collapsed="false">
      <c r="A26" s="22"/>
      <c r="B26" s="23"/>
      <c r="C26" s="23"/>
      <c r="D26" s="23"/>
      <c r="E26" s="23"/>
      <c r="F26" s="23"/>
      <c r="G26" s="23"/>
      <c r="H26" s="23" t="str">
        <f aca="false">IF(COUNT(D26:G26)=0,"",COUNT(D26:G26))</f>
        <v/>
      </c>
      <c r="I26" s="23"/>
      <c r="J26" s="23"/>
      <c r="K26" s="23"/>
      <c r="L26" s="23"/>
      <c r="M26" s="23"/>
    </row>
    <row r="27" customFormat="false" ht="15" hidden="false" customHeight="false" outlineLevel="0" collapsed="false">
      <c r="A27" s="22"/>
      <c r="B27" s="23"/>
      <c r="C27" s="23"/>
      <c r="D27" s="23"/>
      <c r="E27" s="23"/>
      <c r="F27" s="23"/>
      <c r="G27" s="23"/>
      <c r="H27" s="23" t="str">
        <f aca="false">IF(COUNT(D27:G27)=0,"",COUNT(D27:G27))</f>
        <v/>
      </c>
      <c r="I27" s="23"/>
      <c r="J27" s="23"/>
      <c r="K27" s="23"/>
      <c r="L27" s="23"/>
      <c r="M27" s="23"/>
    </row>
    <row r="28" customFormat="false" ht="15" hidden="false" customHeight="false" outlineLevel="0" collapsed="false">
      <c r="A28" s="22"/>
      <c r="B28" s="23"/>
      <c r="C28" s="23"/>
      <c r="D28" s="23"/>
      <c r="E28" s="23"/>
      <c r="F28" s="23"/>
      <c r="G28" s="23"/>
      <c r="H28" s="23" t="str">
        <f aca="false">IF(COUNT(D28:G28)=0,"",COUNT(D28:G28))</f>
        <v/>
      </c>
      <c r="I28" s="23"/>
      <c r="J28" s="23"/>
      <c r="K28" s="23"/>
      <c r="L28" s="23"/>
      <c r="M28" s="23"/>
    </row>
    <row r="29" customFormat="false" ht="15" hidden="false" customHeight="false" outlineLevel="0" collapsed="false">
      <c r="A29" s="22"/>
      <c r="B29" s="23"/>
      <c r="C29" s="23"/>
      <c r="D29" s="23"/>
      <c r="E29" s="23"/>
      <c r="F29" s="23"/>
      <c r="G29" s="23"/>
      <c r="H29" s="23" t="str">
        <f aca="false">IF(COUNT(D29:G29)=0,"",COUNT(D29:G29))</f>
        <v/>
      </c>
      <c r="I29" s="23"/>
      <c r="J29" s="23"/>
      <c r="K29" s="23"/>
      <c r="L29" s="23"/>
      <c r="M29" s="23"/>
    </row>
    <row r="30" customFormat="false" ht="15" hidden="false" customHeight="false" outlineLevel="0" collapsed="false">
      <c r="A30" s="22"/>
      <c r="B30" s="23"/>
      <c r="C30" s="23"/>
      <c r="D30" s="23"/>
      <c r="E30" s="23"/>
      <c r="F30" s="23"/>
      <c r="G30" s="23"/>
      <c r="H30" s="23" t="str">
        <f aca="false">IF(COUNT(D30:G30)=0,"",COUNT(D30:G30))</f>
        <v/>
      </c>
      <c r="I30" s="23"/>
      <c r="J30" s="23"/>
      <c r="K30" s="23"/>
      <c r="L30" s="23"/>
      <c r="M30" s="23"/>
    </row>
    <row r="31" customFormat="false" ht="15" hidden="false" customHeight="false" outlineLevel="0" collapsed="false">
      <c r="A31" s="22"/>
      <c r="B31" s="23"/>
      <c r="C31" s="23"/>
      <c r="D31" s="23"/>
      <c r="E31" s="23"/>
      <c r="F31" s="23"/>
      <c r="G31" s="23"/>
      <c r="H31" s="23" t="str">
        <f aca="false">IF(COUNT(D31:G31)=0,"",COUNT(D31:G31))</f>
        <v/>
      </c>
      <c r="I31" s="23"/>
      <c r="J31" s="23"/>
      <c r="K31" s="23"/>
      <c r="L31" s="23"/>
      <c r="M31" s="23"/>
    </row>
    <row r="32" customFormat="false" ht="15" hidden="false" customHeight="false" outlineLevel="0" collapsed="false">
      <c r="A32" s="22"/>
      <c r="B32" s="23"/>
      <c r="C32" s="23"/>
      <c r="D32" s="23"/>
      <c r="E32" s="23"/>
      <c r="F32" s="23"/>
      <c r="G32" s="23"/>
      <c r="H32" s="23" t="str">
        <f aca="false">IF(COUNT(D32:G32)=0,"",COUNT(D32:G32))</f>
        <v/>
      </c>
      <c r="I32" s="23"/>
      <c r="J32" s="23"/>
      <c r="K32" s="23"/>
      <c r="L32" s="23"/>
      <c r="M32" s="23"/>
    </row>
    <row r="33" customFormat="false" ht="15" hidden="false" customHeight="false" outlineLevel="0" collapsed="false">
      <c r="A33" s="22"/>
      <c r="B33" s="23"/>
      <c r="C33" s="23"/>
      <c r="D33" s="23"/>
      <c r="E33" s="23"/>
      <c r="F33" s="23"/>
      <c r="G33" s="23"/>
      <c r="H33" s="23" t="str">
        <f aca="false">IF(COUNT(D33:G33)=0,"",COUNT(D33:G33))</f>
        <v/>
      </c>
      <c r="I33" s="23"/>
      <c r="J33" s="23"/>
      <c r="K33" s="23"/>
      <c r="L33" s="23"/>
      <c r="M33" s="23"/>
    </row>
    <row r="34" customFormat="false" ht="15" hidden="false" customHeight="false" outlineLevel="0" collapsed="false">
      <c r="A34" s="22"/>
      <c r="B34" s="23"/>
      <c r="C34" s="23"/>
      <c r="D34" s="23"/>
      <c r="E34" s="23"/>
      <c r="F34" s="23"/>
      <c r="G34" s="23"/>
      <c r="H34" s="23" t="str">
        <f aca="false">IF(COUNT(D34:G34)=0,"",COUNT(D34:G34))</f>
        <v/>
      </c>
      <c r="I34" s="23"/>
      <c r="J34" s="23"/>
      <c r="K34" s="23"/>
      <c r="L34" s="23"/>
      <c r="M34" s="23"/>
    </row>
    <row r="35" customFormat="false" ht="15" hidden="false" customHeight="false" outlineLevel="0" collapsed="false">
      <c r="A35" s="22"/>
      <c r="B35" s="23"/>
      <c r="C35" s="23"/>
      <c r="D35" s="23"/>
      <c r="E35" s="23"/>
      <c r="F35" s="23"/>
      <c r="G35" s="23"/>
      <c r="H35" s="23" t="str">
        <f aca="false">IF(COUNT(D35:G35)=0,"",COUNT(D35:G35))</f>
        <v/>
      </c>
      <c r="I35" s="23"/>
      <c r="J35" s="23"/>
      <c r="K35" s="23"/>
      <c r="L35" s="23"/>
      <c r="M35" s="23"/>
    </row>
    <row r="36" customFormat="false" ht="15" hidden="false" customHeight="false" outlineLevel="0" collapsed="false">
      <c r="A36" s="22"/>
      <c r="B36" s="23"/>
      <c r="C36" s="23"/>
      <c r="D36" s="23"/>
      <c r="E36" s="23"/>
      <c r="F36" s="23"/>
      <c r="G36" s="23"/>
      <c r="H36" s="23" t="str">
        <f aca="false">IF(COUNT(D36:G36)=0,"",COUNT(D36:G36))</f>
        <v/>
      </c>
      <c r="I36" s="23"/>
      <c r="J36" s="23"/>
      <c r="K36" s="23"/>
      <c r="L36" s="23"/>
      <c r="M36" s="23"/>
    </row>
    <row r="37" customFormat="false" ht="15" hidden="false" customHeight="false" outlineLevel="0" collapsed="false">
      <c r="A37" s="22"/>
      <c r="B37" s="23"/>
      <c r="C37" s="23"/>
      <c r="D37" s="23"/>
      <c r="E37" s="23"/>
      <c r="F37" s="23"/>
      <c r="G37" s="23"/>
      <c r="H37" s="23" t="str">
        <f aca="false">IF(COUNT(D37:G37)=0,"",COUNT(D37:G37))</f>
        <v/>
      </c>
      <c r="I37" s="23"/>
      <c r="J37" s="23"/>
      <c r="K37" s="23"/>
      <c r="L37" s="23"/>
      <c r="M37" s="23"/>
    </row>
    <row r="38" customFormat="false" ht="15" hidden="false" customHeight="false" outlineLevel="0" collapsed="false">
      <c r="A38" s="22"/>
      <c r="B38" s="23"/>
      <c r="C38" s="23"/>
      <c r="D38" s="23"/>
      <c r="E38" s="23"/>
      <c r="F38" s="23"/>
      <c r="G38" s="23"/>
      <c r="H38" s="23" t="str">
        <f aca="false">IF(COUNT(D38:G38)=0,"",COUNT(D38:G38))</f>
        <v/>
      </c>
      <c r="I38" s="23"/>
      <c r="J38" s="23"/>
      <c r="K38" s="23"/>
      <c r="L38" s="23"/>
      <c r="M38" s="23"/>
    </row>
    <row r="39" customFormat="false" ht="15" hidden="false" customHeight="false" outlineLevel="0" collapsed="false">
      <c r="A39" s="22"/>
      <c r="B39" s="23"/>
      <c r="C39" s="23"/>
      <c r="D39" s="23"/>
      <c r="E39" s="23"/>
      <c r="F39" s="23"/>
      <c r="G39" s="23"/>
      <c r="H39" s="23" t="str">
        <f aca="false">IF(COUNT(D39:G39)=0,"",COUNT(D39:G39))</f>
        <v/>
      </c>
      <c r="I39" s="23"/>
      <c r="J39" s="23"/>
      <c r="K39" s="23"/>
      <c r="L39" s="23"/>
      <c r="M39" s="23"/>
    </row>
    <row r="40" customFormat="false" ht="15" hidden="false" customHeight="false" outlineLevel="0" collapsed="false">
      <c r="A40" s="22"/>
      <c r="B40" s="23"/>
      <c r="C40" s="23"/>
      <c r="D40" s="23"/>
      <c r="E40" s="23"/>
      <c r="F40" s="23"/>
      <c r="G40" s="23"/>
      <c r="H40" s="23" t="str">
        <f aca="false">IF(COUNT(D40:G40)=0,"",COUNT(D40:G40))</f>
        <v/>
      </c>
      <c r="I40" s="23"/>
      <c r="J40" s="23"/>
      <c r="K40" s="23"/>
      <c r="L40" s="23"/>
      <c r="M40" s="23"/>
    </row>
    <row r="41" customFormat="false" ht="15" hidden="false" customHeight="false" outlineLevel="0" collapsed="false">
      <c r="A41" s="22"/>
      <c r="B41" s="23"/>
      <c r="C41" s="23"/>
      <c r="D41" s="23"/>
      <c r="E41" s="23"/>
      <c r="F41" s="23"/>
      <c r="G41" s="23"/>
      <c r="H41" s="23" t="str">
        <f aca="false">IF(COUNT(D41:G41)=0,"",COUNT(D41:G41))</f>
        <v/>
      </c>
      <c r="I41" s="23"/>
      <c r="J41" s="23"/>
      <c r="K41" s="23"/>
      <c r="L41" s="23"/>
      <c r="M41" s="23"/>
    </row>
    <row r="42" customFormat="false" ht="15" hidden="false" customHeight="false" outlineLevel="0" collapsed="false">
      <c r="A42" s="22"/>
      <c r="B42" s="23"/>
      <c r="C42" s="23"/>
      <c r="D42" s="23"/>
      <c r="E42" s="23"/>
      <c r="F42" s="23"/>
      <c r="G42" s="23"/>
      <c r="H42" s="23" t="str">
        <f aca="false">IF(COUNT(D42:G42)=0,"",COUNT(D42:G42))</f>
        <v/>
      </c>
      <c r="I42" s="23"/>
      <c r="J42" s="23"/>
      <c r="K42" s="23"/>
      <c r="L42" s="23"/>
      <c r="M42" s="23"/>
    </row>
    <row r="43" customFormat="false" ht="15" hidden="false" customHeight="false" outlineLevel="0" collapsed="false">
      <c r="A43" s="22"/>
      <c r="B43" s="23"/>
      <c r="C43" s="23"/>
      <c r="D43" s="23"/>
      <c r="E43" s="23"/>
      <c r="F43" s="23"/>
      <c r="G43" s="23"/>
      <c r="H43" s="23" t="str">
        <f aca="false">IF(COUNT(D43:G43)=0,"",COUNT(D43:G43))</f>
        <v/>
      </c>
      <c r="I43" s="23"/>
      <c r="J43" s="23"/>
      <c r="K43" s="23"/>
      <c r="L43" s="23"/>
      <c r="M43" s="23"/>
    </row>
    <row r="44" customFormat="false" ht="15" hidden="false" customHeight="false" outlineLevel="0" collapsed="false">
      <c r="A44" s="22"/>
      <c r="B44" s="23"/>
      <c r="C44" s="23"/>
      <c r="D44" s="23"/>
      <c r="E44" s="23"/>
      <c r="F44" s="23"/>
      <c r="G44" s="23"/>
      <c r="H44" s="23" t="str">
        <f aca="false">IF(COUNT(D44:G44)=0,"",COUNT(D44:G44))</f>
        <v/>
      </c>
      <c r="I44" s="23"/>
      <c r="J44" s="23"/>
      <c r="K44" s="23"/>
      <c r="L44" s="23"/>
      <c r="M44" s="23"/>
    </row>
    <row r="45" customFormat="false" ht="15" hidden="false" customHeight="false" outlineLevel="0" collapsed="false">
      <c r="A45" s="22"/>
      <c r="B45" s="23"/>
      <c r="C45" s="23"/>
      <c r="D45" s="23"/>
      <c r="E45" s="23"/>
      <c r="F45" s="23"/>
      <c r="G45" s="23"/>
      <c r="H45" s="23" t="str">
        <f aca="false">IF(COUNT(D45:G45)=0,"",COUNT(D45:G45))</f>
        <v/>
      </c>
      <c r="I45" s="23"/>
      <c r="J45" s="23"/>
      <c r="K45" s="23"/>
      <c r="L45" s="23"/>
      <c r="M45" s="23"/>
    </row>
    <row r="46" customFormat="false" ht="15" hidden="false" customHeight="false" outlineLevel="0" collapsed="false">
      <c r="A46" s="22"/>
      <c r="B46" s="23"/>
      <c r="C46" s="23"/>
      <c r="D46" s="23"/>
      <c r="E46" s="23"/>
      <c r="F46" s="23"/>
      <c r="G46" s="23"/>
      <c r="H46" s="23" t="str">
        <f aca="false">IF(COUNT(D46:G46)=0,"",COUNT(D46:G46))</f>
        <v/>
      </c>
      <c r="I46" s="23"/>
      <c r="J46" s="23"/>
      <c r="K46" s="23"/>
      <c r="L46" s="23"/>
      <c r="M46" s="23"/>
    </row>
    <row r="47" customFormat="false" ht="15" hidden="false" customHeight="false" outlineLevel="0" collapsed="false">
      <c r="A47" s="22"/>
      <c r="B47" s="23"/>
      <c r="C47" s="23"/>
      <c r="D47" s="23"/>
      <c r="E47" s="23"/>
      <c r="F47" s="23"/>
      <c r="G47" s="23"/>
      <c r="H47" s="23" t="str">
        <f aca="false">IF(COUNT(D47:G47)=0,"",COUNT(D47:G47))</f>
        <v/>
      </c>
      <c r="I47" s="23"/>
      <c r="J47" s="23"/>
      <c r="K47" s="23"/>
      <c r="L47" s="23"/>
      <c r="M47" s="23"/>
    </row>
    <row r="48" customFormat="false" ht="15" hidden="false" customHeight="false" outlineLevel="0" collapsed="false">
      <c r="A48" s="22"/>
      <c r="B48" s="23"/>
      <c r="C48" s="23"/>
      <c r="D48" s="23"/>
      <c r="E48" s="23"/>
      <c r="F48" s="23"/>
      <c r="G48" s="23"/>
      <c r="H48" s="23" t="str">
        <f aca="false">IF(COUNT(D48:G48)=0,"",COUNT(D48:G48))</f>
        <v/>
      </c>
      <c r="I48" s="23"/>
      <c r="J48" s="23"/>
      <c r="K48" s="23"/>
      <c r="L48" s="23"/>
      <c r="M48" s="23"/>
    </row>
    <row r="49" customFormat="false" ht="15" hidden="false" customHeight="false" outlineLevel="0" collapsed="false">
      <c r="A49" s="22"/>
      <c r="B49" s="23"/>
      <c r="C49" s="23"/>
      <c r="D49" s="23"/>
      <c r="E49" s="23"/>
      <c r="F49" s="23"/>
      <c r="G49" s="23"/>
      <c r="H49" s="23" t="str">
        <f aca="false">IF(COUNT(D49:G49)=0,"",COUNT(D49:G49))</f>
        <v/>
      </c>
      <c r="I49" s="23"/>
      <c r="J49" s="23"/>
      <c r="K49" s="23"/>
      <c r="L49" s="23"/>
      <c r="M49" s="23"/>
    </row>
    <row r="50" customFormat="false" ht="15" hidden="false" customHeight="false" outlineLevel="0" collapsed="false">
      <c r="A50" s="22"/>
      <c r="B50" s="23"/>
      <c r="C50" s="23"/>
      <c r="D50" s="23"/>
      <c r="E50" s="23"/>
      <c r="F50" s="23"/>
      <c r="G50" s="23"/>
      <c r="H50" s="23" t="str">
        <f aca="false">IF(COUNT(D50:G50)=0,"",COUNT(D50:G50))</f>
        <v/>
      </c>
      <c r="I50" s="23"/>
      <c r="J50" s="23"/>
      <c r="K50" s="23"/>
      <c r="L50" s="23"/>
      <c r="M50" s="23"/>
    </row>
    <row r="51" customFormat="false" ht="15" hidden="false" customHeight="false" outlineLevel="0" collapsed="false">
      <c r="A51" s="22"/>
      <c r="B51" s="23"/>
      <c r="C51" s="23"/>
      <c r="D51" s="23"/>
      <c r="E51" s="23"/>
      <c r="F51" s="23"/>
      <c r="G51" s="23"/>
      <c r="H51" s="23" t="str">
        <f aca="false">IF(COUNT(D51:G51)=0,"",COUNT(D51:G51))</f>
        <v/>
      </c>
      <c r="I51" s="23"/>
      <c r="J51" s="23"/>
      <c r="K51" s="23"/>
      <c r="L51" s="23"/>
      <c r="M51" s="23"/>
    </row>
    <row r="52" customFormat="false" ht="15" hidden="false" customHeight="false" outlineLevel="0" collapsed="false">
      <c r="A52" s="22"/>
      <c r="B52" s="23"/>
      <c r="C52" s="23"/>
      <c r="D52" s="23"/>
      <c r="E52" s="23"/>
      <c r="F52" s="23"/>
      <c r="G52" s="23"/>
      <c r="H52" s="23" t="str">
        <f aca="false">IF(COUNT(D52:G52)=0,"",COUNT(D52:G52))</f>
        <v/>
      </c>
      <c r="I52" s="23"/>
      <c r="J52" s="23"/>
      <c r="K52" s="23"/>
      <c r="L52" s="23"/>
      <c r="M52" s="23"/>
    </row>
    <row r="53" customFormat="false" ht="15" hidden="false" customHeight="false" outlineLevel="0" collapsed="false">
      <c r="A53" s="22"/>
      <c r="B53" s="23"/>
      <c r="C53" s="23"/>
      <c r="D53" s="23"/>
      <c r="E53" s="23"/>
      <c r="F53" s="23"/>
      <c r="G53" s="23"/>
      <c r="H53" s="23" t="str">
        <f aca="false">IF(COUNT(D53:G53)=0,"",COUNT(D53:G53))</f>
        <v/>
      </c>
      <c r="I53" s="23"/>
      <c r="J53" s="23"/>
      <c r="K53" s="23"/>
      <c r="L53" s="23"/>
      <c r="M53" s="23"/>
    </row>
    <row r="54" customFormat="false" ht="15" hidden="false" customHeight="false" outlineLevel="0" collapsed="false">
      <c r="A54" s="22"/>
      <c r="B54" s="23"/>
      <c r="C54" s="23"/>
      <c r="D54" s="23"/>
      <c r="E54" s="23"/>
      <c r="F54" s="23"/>
      <c r="G54" s="23"/>
      <c r="H54" s="23" t="str">
        <f aca="false">IF(COUNT(D54:G54)=0,"",COUNT(D54:G54))</f>
        <v/>
      </c>
      <c r="I54" s="23"/>
      <c r="J54" s="23"/>
      <c r="K54" s="23"/>
      <c r="L54" s="23"/>
      <c r="M54" s="23"/>
    </row>
    <row r="55" customFormat="false" ht="15" hidden="false" customHeight="false" outlineLevel="0" collapsed="false">
      <c r="A55" s="22"/>
      <c r="B55" s="23"/>
      <c r="C55" s="23"/>
      <c r="D55" s="23"/>
      <c r="E55" s="23"/>
      <c r="F55" s="23"/>
      <c r="G55" s="23"/>
      <c r="H55" s="23" t="str">
        <f aca="false">IF(COUNT(D55:G55)=0,"",COUNT(D55:G55))</f>
        <v/>
      </c>
      <c r="I55" s="23"/>
      <c r="J55" s="23"/>
      <c r="K55" s="23"/>
      <c r="L55" s="23"/>
      <c r="M55" s="23"/>
    </row>
    <row r="56" customFormat="false" ht="15" hidden="false" customHeight="false" outlineLevel="0" collapsed="false">
      <c r="A56" s="22"/>
      <c r="B56" s="23"/>
      <c r="C56" s="23"/>
      <c r="D56" s="23"/>
      <c r="E56" s="23"/>
      <c r="F56" s="23"/>
      <c r="G56" s="23"/>
      <c r="H56" s="23" t="str">
        <f aca="false">IF(COUNT(D56:G56)=0,"",COUNT(D56:G56))</f>
        <v/>
      </c>
      <c r="I56" s="23"/>
      <c r="J56" s="23"/>
      <c r="K56" s="23"/>
      <c r="L56" s="23"/>
      <c r="M56" s="23"/>
    </row>
    <row r="57" customFormat="false" ht="15" hidden="false" customHeight="false" outlineLevel="0" collapsed="false">
      <c r="A57" s="22"/>
      <c r="B57" s="23"/>
      <c r="C57" s="23"/>
      <c r="D57" s="23"/>
      <c r="E57" s="23"/>
      <c r="F57" s="23"/>
      <c r="G57" s="23"/>
      <c r="H57" s="23" t="str">
        <f aca="false">IF(COUNT(D57:G57)=0,"",COUNT(D57:G57))</f>
        <v/>
      </c>
      <c r="I57" s="23"/>
      <c r="J57" s="23"/>
      <c r="K57" s="23"/>
      <c r="L57" s="23"/>
      <c r="M57" s="23"/>
    </row>
    <row r="58" customFormat="false" ht="15" hidden="false" customHeight="false" outlineLevel="0" collapsed="false">
      <c r="A58" s="22"/>
      <c r="B58" s="23"/>
      <c r="C58" s="23"/>
      <c r="D58" s="23"/>
      <c r="E58" s="23"/>
      <c r="F58" s="23"/>
      <c r="G58" s="23"/>
      <c r="H58" s="23" t="str">
        <f aca="false">IF(COUNT(D58:G58)=0,"",COUNT(D58:G58))</f>
        <v/>
      </c>
      <c r="I58" s="23"/>
      <c r="J58" s="23"/>
      <c r="K58" s="23"/>
      <c r="L58" s="23"/>
      <c r="M58" s="23"/>
    </row>
    <row r="59" customFormat="false" ht="15" hidden="false" customHeight="false" outlineLevel="0" collapsed="false">
      <c r="A59" s="22"/>
      <c r="B59" s="23"/>
      <c r="C59" s="23"/>
      <c r="D59" s="23"/>
      <c r="E59" s="23"/>
      <c r="F59" s="23"/>
      <c r="G59" s="23"/>
      <c r="H59" s="23" t="str">
        <f aca="false">IF(COUNT(D59:G59)=0,"",COUNT(D59:G59))</f>
        <v/>
      </c>
      <c r="I59" s="23"/>
      <c r="J59" s="23"/>
      <c r="K59" s="23"/>
      <c r="L59" s="23"/>
      <c r="M59" s="23"/>
    </row>
    <row r="60" customFormat="false" ht="15" hidden="false" customHeight="false" outlineLevel="0" collapsed="false">
      <c r="A60" s="22"/>
      <c r="B60" s="23"/>
      <c r="C60" s="23"/>
      <c r="D60" s="23"/>
      <c r="E60" s="23"/>
      <c r="F60" s="23"/>
      <c r="G60" s="23"/>
      <c r="H60" s="23" t="str">
        <f aca="false">IF(COUNT(D60:G60)=0,"",COUNT(D60:G60))</f>
        <v/>
      </c>
      <c r="I60" s="23"/>
      <c r="J60" s="23"/>
      <c r="K60" s="23"/>
      <c r="L60" s="23"/>
      <c r="M60" s="23"/>
    </row>
    <row r="61" customFormat="false" ht="15" hidden="false" customHeight="false" outlineLevel="0" collapsed="false">
      <c r="A61" s="22"/>
      <c r="B61" s="23"/>
      <c r="C61" s="23"/>
      <c r="D61" s="23"/>
      <c r="E61" s="23"/>
      <c r="F61" s="23"/>
      <c r="G61" s="23"/>
      <c r="H61" s="23" t="str">
        <f aca="false">IF(COUNT(D61:G61)=0,"",COUNT(D61:G61))</f>
        <v/>
      </c>
      <c r="I61" s="23"/>
      <c r="J61" s="23"/>
      <c r="K61" s="23"/>
      <c r="L61" s="23"/>
      <c r="M61" s="23"/>
    </row>
    <row r="62" customFormat="false" ht="15" hidden="false" customHeight="false" outlineLevel="0" collapsed="false">
      <c r="A62" s="22"/>
      <c r="B62" s="23"/>
      <c r="C62" s="23"/>
      <c r="D62" s="23"/>
      <c r="E62" s="23"/>
      <c r="F62" s="23"/>
      <c r="G62" s="23"/>
      <c r="H62" s="23" t="str">
        <f aca="false">IF(COUNT(D62:G62)=0,"",COUNT(D62:G62))</f>
        <v/>
      </c>
      <c r="I62" s="23"/>
      <c r="J62" s="23"/>
      <c r="K62" s="23"/>
      <c r="L62" s="23"/>
      <c r="M62" s="23"/>
    </row>
    <row r="63" customFormat="false" ht="15" hidden="false" customHeight="false" outlineLevel="0" collapsed="false">
      <c r="A63" s="22"/>
      <c r="B63" s="23"/>
      <c r="C63" s="23"/>
      <c r="D63" s="23"/>
      <c r="E63" s="23"/>
      <c r="F63" s="23"/>
      <c r="G63" s="23"/>
      <c r="H63" s="23" t="str">
        <f aca="false">IF(COUNT(D63:G63)=0,"",COUNT(D63:G63))</f>
        <v/>
      </c>
      <c r="I63" s="23"/>
      <c r="J63" s="23"/>
      <c r="K63" s="23"/>
      <c r="L63" s="23"/>
      <c r="M63" s="23"/>
    </row>
    <row r="64" customFormat="false" ht="15" hidden="false" customHeight="false" outlineLevel="0" collapsed="false">
      <c r="A64" s="22"/>
      <c r="B64" s="23"/>
      <c r="C64" s="23"/>
      <c r="D64" s="23"/>
      <c r="E64" s="23"/>
      <c r="F64" s="23"/>
      <c r="G64" s="23"/>
      <c r="H64" s="23" t="str">
        <f aca="false">IF(COUNT(D64:G64)=0,"",COUNT(D64:G64))</f>
        <v/>
      </c>
      <c r="I64" s="23"/>
      <c r="J64" s="23"/>
      <c r="K64" s="23"/>
      <c r="L64" s="23"/>
      <c r="M64" s="23"/>
    </row>
    <row r="65" customFormat="false" ht="15" hidden="false" customHeight="false" outlineLevel="0" collapsed="false">
      <c r="A65" s="22"/>
      <c r="B65" s="23"/>
      <c r="C65" s="23"/>
      <c r="D65" s="23"/>
      <c r="E65" s="23"/>
      <c r="F65" s="23"/>
      <c r="G65" s="23"/>
      <c r="H65" s="23" t="str">
        <f aca="false">IF(COUNT(D65:G65)=0,"",COUNT(D65:G65))</f>
        <v/>
      </c>
      <c r="I65" s="23"/>
      <c r="J65" s="23"/>
      <c r="K65" s="23"/>
      <c r="L65" s="23"/>
      <c r="M65" s="23"/>
    </row>
    <row r="66" customFormat="false" ht="15" hidden="false" customHeight="false" outlineLevel="0" collapsed="false">
      <c r="A66" s="22"/>
      <c r="B66" s="23"/>
      <c r="C66" s="23"/>
      <c r="D66" s="23"/>
      <c r="E66" s="23"/>
      <c r="F66" s="23"/>
      <c r="G66" s="23"/>
      <c r="H66" s="23" t="str">
        <f aca="false">IF(COUNT(D66:G66)=0,"",COUNT(D66:G66))</f>
        <v/>
      </c>
      <c r="I66" s="23"/>
      <c r="J66" s="23"/>
      <c r="K66" s="23"/>
      <c r="L66" s="23"/>
      <c r="M66" s="23"/>
    </row>
    <row r="67" customFormat="false" ht="15" hidden="false" customHeight="false" outlineLevel="0" collapsed="false">
      <c r="A67" s="22"/>
      <c r="B67" s="23"/>
      <c r="C67" s="23"/>
      <c r="D67" s="23"/>
      <c r="E67" s="23"/>
      <c r="F67" s="23"/>
      <c r="G67" s="23"/>
      <c r="H67" s="23" t="str">
        <f aca="false">IF(COUNT(D67:G67)=0,"",COUNT(D67:G67))</f>
        <v/>
      </c>
      <c r="I67" s="23"/>
      <c r="J67" s="23"/>
      <c r="K67" s="23"/>
      <c r="L67" s="23"/>
      <c r="M67" s="23"/>
    </row>
    <row r="68" customFormat="false" ht="15" hidden="false" customHeight="false" outlineLevel="0" collapsed="false">
      <c r="A68" s="22"/>
      <c r="B68" s="23"/>
      <c r="C68" s="23"/>
      <c r="D68" s="23"/>
      <c r="E68" s="23"/>
      <c r="F68" s="23"/>
      <c r="G68" s="23"/>
      <c r="H68" s="23" t="str">
        <f aca="false">IF(COUNT(D68:G68)=0,"",COUNT(D68:G68))</f>
        <v/>
      </c>
      <c r="I68" s="23"/>
      <c r="J68" s="23"/>
      <c r="K68" s="23"/>
      <c r="L68" s="23"/>
      <c r="M68" s="23"/>
    </row>
    <row r="69" customFormat="false" ht="15" hidden="false" customHeight="false" outlineLevel="0" collapsed="false">
      <c r="A69" s="22"/>
      <c r="B69" s="23"/>
      <c r="C69" s="23"/>
      <c r="D69" s="23"/>
      <c r="E69" s="23"/>
      <c r="F69" s="23"/>
      <c r="G69" s="23"/>
      <c r="H69" s="23" t="str">
        <f aca="false">IF(COUNT(D69:G69)=0,"",COUNT(D69:G69))</f>
        <v/>
      </c>
      <c r="I69" s="23"/>
      <c r="J69" s="23"/>
      <c r="K69" s="23"/>
      <c r="L69" s="23"/>
      <c r="M69" s="23"/>
    </row>
    <row r="70" customFormat="false" ht="15" hidden="false" customHeight="false" outlineLevel="0" collapsed="false">
      <c r="A70" s="22"/>
      <c r="B70" s="23"/>
      <c r="C70" s="23"/>
      <c r="D70" s="23"/>
      <c r="E70" s="23"/>
      <c r="F70" s="23"/>
      <c r="G70" s="23"/>
      <c r="H70" s="23" t="str">
        <f aca="false">IF(COUNT(D70:G70)=0,"",COUNT(D70:G70))</f>
        <v/>
      </c>
      <c r="I70" s="23"/>
      <c r="J70" s="23"/>
      <c r="K70" s="23"/>
      <c r="L70" s="23"/>
      <c r="M70" s="23"/>
    </row>
    <row r="71" customFormat="false" ht="15" hidden="false" customHeight="false" outlineLevel="0" collapsed="false">
      <c r="A71" s="22"/>
      <c r="B71" s="23"/>
      <c r="C71" s="23"/>
      <c r="D71" s="23"/>
      <c r="E71" s="23"/>
      <c r="F71" s="23"/>
      <c r="G71" s="23"/>
      <c r="H71" s="23" t="str">
        <f aca="false">IF(COUNT(D71:G71)=0,"",COUNT(D71:G71))</f>
        <v/>
      </c>
      <c r="I71" s="23"/>
      <c r="J71" s="23"/>
      <c r="K71" s="23"/>
      <c r="L71" s="23"/>
      <c r="M71" s="23"/>
    </row>
    <row r="72" customFormat="false" ht="15" hidden="false" customHeight="false" outlineLevel="0" collapsed="false">
      <c r="A72" s="22"/>
      <c r="B72" s="23"/>
      <c r="C72" s="23"/>
      <c r="D72" s="23"/>
      <c r="E72" s="23"/>
      <c r="F72" s="23"/>
      <c r="G72" s="23"/>
      <c r="H72" s="23" t="str">
        <f aca="false">IF(COUNT(D72:G72)=0,"",COUNT(D72:G72))</f>
        <v/>
      </c>
      <c r="I72" s="23"/>
      <c r="J72" s="23"/>
      <c r="K72" s="23"/>
      <c r="L72" s="23"/>
      <c r="M72" s="23"/>
    </row>
    <row r="73" customFormat="false" ht="15" hidden="false" customHeight="false" outlineLevel="0" collapsed="false">
      <c r="A73" s="22"/>
      <c r="B73" s="23"/>
      <c r="C73" s="23"/>
      <c r="D73" s="23"/>
      <c r="E73" s="23"/>
      <c r="F73" s="23"/>
      <c r="G73" s="23"/>
      <c r="H73" s="23" t="str">
        <f aca="false">IF(COUNT(D73:G73)=0,"",COUNT(D73:G73))</f>
        <v/>
      </c>
      <c r="I73" s="23"/>
      <c r="J73" s="23"/>
      <c r="K73" s="23"/>
      <c r="L73" s="23"/>
      <c r="M73" s="23"/>
    </row>
    <row r="74" customFormat="false" ht="15" hidden="false" customHeight="false" outlineLevel="0" collapsed="false">
      <c r="A74" s="22"/>
      <c r="B74" s="23"/>
      <c r="C74" s="23"/>
      <c r="D74" s="23"/>
      <c r="E74" s="23"/>
      <c r="F74" s="23"/>
      <c r="G74" s="23"/>
      <c r="H74" s="23" t="str">
        <f aca="false">IF(COUNT(D74:G74)=0,"",COUNT(D74:G74))</f>
        <v/>
      </c>
      <c r="I74" s="23"/>
      <c r="J74" s="23"/>
      <c r="K74" s="23"/>
      <c r="L74" s="23"/>
      <c r="M74" s="23"/>
    </row>
    <row r="75" customFormat="false" ht="15" hidden="false" customHeight="false" outlineLevel="0" collapsed="false">
      <c r="A75" s="22"/>
      <c r="B75" s="23"/>
      <c r="C75" s="23"/>
      <c r="D75" s="23"/>
      <c r="E75" s="23"/>
      <c r="F75" s="23"/>
      <c r="G75" s="23"/>
      <c r="H75" s="23" t="str">
        <f aca="false">IF(COUNT(D75:G75)=0,"",COUNT(D75:G75))</f>
        <v/>
      </c>
      <c r="I75" s="23"/>
      <c r="J75" s="23"/>
      <c r="K75" s="23"/>
      <c r="L75" s="23"/>
      <c r="M75" s="23"/>
    </row>
    <row r="76" customFormat="false" ht="15" hidden="false" customHeight="false" outlineLevel="0" collapsed="false">
      <c r="A76" s="22"/>
      <c r="B76" s="23"/>
      <c r="C76" s="23"/>
      <c r="D76" s="23"/>
      <c r="E76" s="23"/>
      <c r="F76" s="23"/>
      <c r="G76" s="23"/>
      <c r="H76" s="23" t="str">
        <f aca="false">IF(COUNT(D76:G76)=0,"",COUNT(D76:G76))</f>
        <v/>
      </c>
      <c r="I76" s="23"/>
      <c r="J76" s="23"/>
      <c r="K76" s="23"/>
      <c r="L76" s="23"/>
      <c r="M76" s="23"/>
    </row>
    <row r="77" customFormat="false" ht="15" hidden="false" customHeight="false" outlineLevel="0" collapsed="false">
      <c r="A77" s="22"/>
      <c r="B77" s="23"/>
      <c r="C77" s="23"/>
      <c r="D77" s="23"/>
      <c r="E77" s="23"/>
      <c r="F77" s="23"/>
      <c r="G77" s="23"/>
      <c r="H77" s="23" t="str">
        <f aca="false">IF(COUNT(D77:G77)=0,"",COUNT(D77:G77))</f>
        <v/>
      </c>
      <c r="I77" s="23"/>
      <c r="J77" s="23"/>
      <c r="K77" s="23"/>
      <c r="L77" s="23"/>
      <c r="M77" s="23"/>
    </row>
    <row r="78" customFormat="false" ht="15" hidden="false" customHeight="false" outlineLevel="0" collapsed="false">
      <c r="A78" s="22"/>
      <c r="B78" s="23"/>
      <c r="C78" s="23"/>
      <c r="D78" s="23"/>
      <c r="E78" s="23"/>
      <c r="F78" s="23"/>
      <c r="G78" s="23"/>
      <c r="H78" s="23" t="str">
        <f aca="false">IF(COUNT(D78:G78)=0,"",COUNT(D78:G78))</f>
        <v/>
      </c>
      <c r="I78" s="23"/>
      <c r="J78" s="23"/>
      <c r="K78" s="23"/>
      <c r="L78" s="23"/>
      <c r="M78" s="23"/>
    </row>
    <row r="79" customFormat="false" ht="15" hidden="false" customHeight="false" outlineLevel="0" collapsed="false">
      <c r="A79" s="22"/>
      <c r="B79" s="23"/>
      <c r="C79" s="23"/>
      <c r="D79" s="23"/>
      <c r="E79" s="23"/>
      <c r="F79" s="23"/>
      <c r="G79" s="23"/>
      <c r="H79" s="23" t="str">
        <f aca="false">IF(COUNT(D79:G79)=0,"",COUNT(D79:G79))</f>
        <v/>
      </c>
      <c r="I79" s="23"/>
      <c r="J79" s="23"/>
      <c r="K79" s="23"/>
      <c r="L79" s="23"/>
      <c r="M79" s="23"/>
    </row>
    <row r="80" customFormat="false" ht="15" hidden="false" customHeight="false" outlineLevel="0" collapsed="false">
      <c r="A80" s="22"/>
      <c r="B80" s="23"/>
      <c r="C80" s="23"/>
      <c r="D80" s="23"/>
      <c r="E80" s="23"/>
      <c r="F80" s="23"/>
      <c r="G80" s="23"/>
      <c r="H80" s="23" t="str">
        <f aca="false">IF(COUNT(D80:G80)=0,"",COUNT(D80:G80))</f>
        <v/>
      </c>
      <c r="I80" s="23"/>
      <c r="J80" s="23"/>
      <c r="K80" s="23"/>
      <c r="L80" s="23"/>
      <c r="M80" s="23"/>
    </row>
    <row r="81" customFormat="false" ht="15" hidden="false" customHeight="false" outlineLevel="0" collapsed="false">
      <c r="A81" s="22"/>
      <c r="B81" s="23"/>
      <c r="C81" s="23"/>
      <c r="D81" s="23"/>
      <c r="E81" s="23"/>
      <c r="F81" s="23"/>
      <c r="G81" s="23"/>
      <c r="H81" s="23" t="str">
        <f aca="false">IF(COUNT(D81:G81)=0,"",COUNT(D81:G81))</f>
        <v/>
      </c>
      <c r="I81" s="23"/>
      <c r="J81" s="23"/>
      <c r="K81" s="23"/>
      <c r="L81" s="23"/>
      <c r="M81" s="23"/>
    </row>
    <row r="82" customFormat="false" ht="15" hidden="false" customHeight="false" outlineLevel="0" collapsed="false">
      <c r="A82" s="22"/>
      <c r="B82" s="23"/>
      <c r="C82" s="23"/>
      <c r="D82" s="23"/>
      <c r="E82" s="23"/>
      <c r="F82" s="23"/>
      <c r="G82" s="23"/>
      <c r="H82" s="23" t="str">
        <f aca="false">IF(COUNT(D82:G82)=0,"",COUNT(D82:G82))</f>
        <v/>
      </c>
      <c r="I82" s="23"/>
      <c r="J82" s="23"/>
      <c r="K82" s="23"/>
      <c r="L82" s="23"/>
      <c r="M82" s="23"/>
    </row>
    <row r="83" customFormat="false" ht="15" hidden="false" customHeight="false" outlineLevel="0" collapsed="false">
      <c r="A83" s="22"/>
      <c r="B83" s="23"/>
      <c r="C83" s="23"/>
      <c r="D83" s="23"/>
      <c r="E83" s="23"/>
      <c r="F83" s="23"/>
      <c r="G83" s="23"/>
      <c r="H83" s="23" t="str">
        <f aca="false">IF(COUNT(D83:G83)=0,"",COUNT(D83:G83))</f>
        <v/>
      </c>
      <c r="I83" s="23"/>
      <c r="J83" s="23"/>
      <c r="K83" s="23"/>
      <c r="L83" s="23"/>
      <c r="M83" s="23"/>
    </row>
    <row r="84" customFormat="false" ht="15" hidden="false" customHeight="false" outlineLevel="0" collapsed="false">
      <c r="A84" s="22"/>
      <c r="B84" s="23"/>
      <c r="C84" s="23"/>
      <c r="D84" s="23"/>
      <c r="E84" s="23"/>
      <c r="F84" s="23"/>
      <c r="G84" s="23"/>
      <c r="H84" s="23" t="str">
        <f aca="false">IF(COUNT(D84:G84)=0,"",COUNT(D84:G84))</f>
        <v/>
      </c>
      <c r="I84" s="23"/>
      <c r="J84" s="23"/>
      <c r="K84" s="23"/>
      <c r="L84" s="23"/>
      <c r="M84" s="23"/>
    </row>
    <row r="85" customFormat="false" ht="15" hidden="false" customHeight="false" outlineLevel="0" collapsed="false">
      <c r="A85" s="22"/>
      <c r="B85" s="23"/>
      <c r="C85" s="23"/>
      <c r="D85" s="23"/>
      <c r="E85" s="23"/>
      <c r="F85" s="23"/>
      <c r="G85" s="23"/>
      <c r="H85" s="23" t="str">
        <f aca="false">IF(COUNT(D85:G85)=0,"",COUNT(D85:G85))</f>
        <v/>
      </c>
      <c r="I85" s="23"/>
      <c r="J85" s="23"/>
      <c r="K85" s="23"/>
      <c r="L85" s="23"/>
      <c r="M85" s="23"/>
    </row>
    <row r="86" customFormat="false" ht="15" hidden="false" customHeight="false" outlineLevel="0" collapsed="false">
      <c r="A86" s="22"/>
      <c r="B86" s="23"/>
      <c r="C86" s="23"/>
      <c r="D86" s="23"/>
      <c r="E86" s="23"/>
      <c r="F86" s="23"/>
      <c r="G86" s="23"/>
      <c r="H86" s="23" t="str">
        <f aca="false">IF(COUNT(D86:G86)=0,"",COUNT(D86:G86))</f>
        <v/>
      </c>
      <c r="I86" s="23"/>
      <c r="J86" s="23"/>
      <c r="K86" s="23"/>
      <c r="L86" s="23"/>
      <c r="M86" s="23"/>
    </row>
    <row r="87" customFormat="false" ht="15" hidden="false" customHeight="false" outlineLevel="0" collapsed="false">
      <c r="A87" s="22"/>
      <c r="B87" s="23"/>
      <c r="C87" s="23"/>
      <c r="D87" s="23"/>
      <c r="E87" s="23"/>
      <c r="F87" s="23"/>
      <c r="G87" s="23"/>
      <c r="H87" s="23" t="str">
        <f aca="false">IF(COUNT(D87:G87)=0,"",COUNT(D87:G87))</f>
        <v/>
      </c>
      <c r="I87" s="23"/>
      <c r="J87" s="23"/>
      <c r="K87" s="23"/>
      <c r="L87" s="23"/>
      <c r="M87" s="23"/>
    </row>
    <row r="88" customFormat="false" ht="15" hidden="false" customHeight="false" outlineLevel="0" collapsed="false">
      <c r="A88" s="22"/>
      <c r="B88" s="23"/>
      <c r="C88" s="23"/>
      <c r="D88" s="23"/>
      <c r="E88" s="23"/>
      <c r="F88" s="23"/>
      <c r="G88" s="23"/>
      <c r="H88" s="23" t="str">
        <f aca="false">IF(COUNT(D88:G88)=0,"",COUNT(D88:G88))</f>
        <v/>
      </c>
      <c r="I88" s="23"/>
      <c r="J88" s="23"/>
      <c r="K88" s="23"/>
      <c r="L88" s="23"/>
      <c r="M88" s="23"/>
    </row>
    <row r="89" customFormat="false" ht="15" hidden="false" customHeight="false" outlineLevel="0" collapsed="false">
      <c r="A89" s="22"/>
      <c r="B89" s="23"/>
      <c r="C89" s="23"/>
      <c r="D89" s="23"/>
      <c r="E89" s="23"/>
      <c r="F89" s="23"/>
      <c r="G89" s="23"/>
      <c r="H89" s="23" t="str">
        <f aca="false">IF(COUNT(D89:G89)=0,"",COUNT(D89:G89))</f>
        <v/>
      </c>
      <c r="I89" s="23"/>
      <c r="J89" s="23"/>
      <c r="K89" s="23"/>
      <c r="L89" s="23"/>
      <c r="M89" s="23"/>
    </row>
    <row r="90" customFormat="false" ht="15" hidden="false" customHeight="false" outlineLevel="0" collapsed="false">
      <c r="A90" s="22"/>
      <c r="B90" s="23"/>
      <c r="C90" s="23"/>
      <c r="D90" s="23"/>
      <c r="E90" s="23"/>
      <c r="F90" s="23"/>
      <c r="G90" s="23"/>
      <c r="H90" s="23" t="str">
        <f aca="false">IF(COUNT(D90:G90)=0,"",COUNT(D90:G90))</f>
        <v/>
      </c>
      <c r="I90" s="23"/>
      <c r="J90" s="23"/>
      <c r="K90" s="23"/>
      <c r="L90" s="23"/>
      <c r="M90" s="23"/>
    </row>
    <row r="91" customFormat="false" ht="15" hidden="false" customHeight="false" outlineLevel="0" collapsed="false">
      <c r="A91" s="22"/>
      <c r="B91" s="23"/>
      <c r="C91" s="23"/>
      <c r="D91" s="23"/>
      <c r="E91" s="23"/>
      <c r="F91" s="23"/>
      <c r="G91" s="23"/>
      <c r="H91" s="23" t="str">
        <f aca="false">IF(COUNT(D91:G91)=0,"",COUNT(D91:G91))</f>
        <v/>
      </c>
      <c r="I91" s="23"/>
      <c r="J91" s="23"/>
      <c r="K91" s="23"/>
      <c r="L91" s="23"/>
      <c r="M91" s="23"/>
    </row>
    <row r="92" customFormat="false" ht="15" hidden="false" customHeight="false" outlineLevel="0" collapsed="false">
      <c r="A92" s="22"/>
      <c r="B92" s="23"/>
      <c r="C92" s="23"/>
      <c r="D92" s="23"/>
      <c r="E92" s="23"/>
      <c r="F92" s="23"/>
      <c r="G92" s="23"/>
      <c r="H92" s="23" t="str">
        <f aca="false">IF(COUNT(D92:G92)=0,"",COUNT(D92:G92))</f>
        <v/>
      </c>
      <c r="I92" s="23"/>
      <c r="J92" s="23"/>
      <c r="K92" s="23"/>
      <c r="L92" s="23"/>
      <c r="M92" s="23"/>
    </row>
    <row r="93" customFormat="false" ht="15" hidden="false" customHeight="false" outlineLevel="0" collapsed="false">
      <c r="A93" s="22"/>
      <c r="B93" s="23"/>
      <c r="C93" s="23"/>
      <c r="D93" s="23"/>
      <c r="E93" s="23"/>
      <c r="F93" s="23"/>
      <c r="G93" s="23"/>
      <c r="H93" s="23" t="str">
        <f aca="false">IF(COUNT(D93:G93)=0,"",COUNT(D93:G93))</f>
        <v/>
      </c>
      <c r="I93" s="23"/>
      <c r="J93" s="23"/>
      <c r="K93" s="23"/>
      <c r="L93" s="23"/>
      <c r="M93" s="23"/>
    </row>
    <row r="94" customFormat="false" ht="15" hidden="false" customHeight="false" outlineLevel="0" collapsed="false">
      <c r="A94" s="22"/>
      <c r="B94" s="23"/>
      <c r="C94" s="23"/>
      <c r="D94" s="23"/>
      <c r="E94" s="23"/>
      <c r="F94" s="23"/>
      <c r="G94" s="23"/>
      <c r="H94" s="23" t="str">
        <f aca="false">IF(COUNT(D94:G94)=0,"",COUNT(D94:G94))</f>
        <v/>
      </c>
      <c r="I94" s="23"/>
      <c r="J94" s="23"/>
      <c r="K94" s="23"/>
      <c r="L94" s="23"/>
      <c r="M94" s="23"/>
    </row>
    <row r="95" customFormat="false" ht="15" hidden="false" customHeight="false" outlineLevel="0" collapsed="false">
      <c r="A95" s="22"/>
      <c r="B95" s="23"/>
      <c r="C95" s="23"/>
      <c r="D95" s="23"/>
      <c r="E95" s="23"/>
      <c r="F95" s="23"/>
      <c r="G95" s="23"/>
      <c r="H95" s="23" t="str">
        <f aca="false">IF(COUNT(D95:G95)=0,"",COUNT(D95:G95))</f>
        <v/>
      </c>
      <c r="I95" s="23"/>
      <c r="J95" s="23"/>
      <c r="K95" s="23"/>
      <c r="L95" s="23"/>
      <c r="M95" s="23"/>
    </row>
    <row r="96" customFormat="false" ht="15" hidden="false" customHeight="false" outlineLevel="0" collapsed="false">
      <c r="A96" s="22"/>
      <c r="B96" s="23"/>
      <c r="C96" s="23"/>
      <c r="D96" s="23"/>
      <c r="E96" s="23"/>
      <c r="F96" s="23"/>
      <c r="G96" s="23"/>
      <c r="H96" s="23" t="str">
        <f aca="false">IF(COUNT(D96:G96)=0,"",COUNT(D96:G96))</f>
        <v/>
      </c>
      <c r="I96" s="23"/>
      <c r="J96" s="23"/>
      <c r="K96" s="23"/>
      <c r="L96" s="23"/>
      <c r="M96" s="23"/>
    </row>
    <row r="97" customFormat="false" ht="15" hidden="false" customHeight="false" outlineLevel="0" collapsed="false">
      <c r="A97" s="22"/>
      <c r="B97" s="23"/>
      <c r="C97" s="23"/>
      <c r="D97" s="23"/>
      <c r="E97" s="23"/>
      <c r="F97" s="23"/>
      <c r="G97" s="23"/>
      <c r="H97" s="23" t="str">
        <f aca="false">IF(COUNT(D97:G97)=0,"",COUNT(D97:G97))</f>
        <v/>
      </c>
      <c r="I97" s="23"/>
      <c r="J97" s="23"/>
      <c r="K97" s="23"/>
      <c r="L97" s="23"/>
      <c r="M97" s="23"/>
    </row>
    <row r="98" customFormat="false" ht="15" hidden="false" customHeight="false" outlineLevel="0" collapsed="false">
      <c r="A98" s="22"/>
      <c r="B98" s="23"/>
      <c r="C98" s="23"/>
      <c r="D98" s="23"/>
      <c r="E98" s="23"/>
      <c r="F98" s="23"/>
      <c r="G98" s="23"/>
      <c r="H98" s="23" t="str">
        <f aca="false">IF(COUNT(D98:G98)=0,"",COUNT(D98:G98))</f>
        <v/>
      </c>
      <c r="I98" s="23"/>
      <c r="J98" s="23"/>
      <c r="K98" s="23"/>
      <c r="L98" s="23"/>
      <c r="M98" s="23"/>
    </row>
    <row r="99" customFormat="false" ht="15" hidden="false" customHeight="false" outlineLevel="0" collapsed="false">
      <c r="A99" s="22"/>
      <c r="B99" s="23"/>
      <c r="C99" s="23"/>
      <c r="D99" s="23"/>
      <c r="E99" s="23"/>
      <c r="F99" s="23"/>
      <c r="G99" s="23"/>
      <c r="H99" s="23" t="str">
        <f aca="false">IF(COUNT(D99:G99)=0,"",COUNT(D99:G99))</f>
        <v/>
      </c>
      <c r="I99" s="23"/>
      <c r="J99" s="23"/>
      <c r="K99" s="23"/>
      <c r="L99" s="23"/>
      <c r="M99" s="23"/>
    </row>
    <row r="100" customFormat="false" ht="15" hidden="false" customHeight="false" outlineLevel="0" collapsed="false">
      <c r="A100" s="22"/>
      <c r="B100" s="23"/>
      <c r="C100" s="23"/>
      <c r="D100" s="23"/>
      <c r="E100" s="23"/>
      <c r="F100" s="23"/>
      <c r="G100" s="23"/>
      <c r="H100" s="23" t="str">
        <f aca="false">IF(COUNT(D100:G100)=0,"",COUNT(D100:G100))</f>
        <v/>
      </c>
      <c r="I100" s="23"/>
      <c r="J100" s="23"/>
      <c r="K100" s="23"/>
      <c r="L100" s="23"/>
      <c r="M100" s="23"/>
    </row>
    <row r="101" customFormat="false" ht="15" hidden="false" customHeight="false" outlineLevel="0" collapsed="false">
      <c r="A101" s="22"/>
      <c r="B101" s="23"/>
      <c r="C101" s="23"/>
      <c r="D101" s="23"/>
      <c r="E101" s="23"/>
      <c r="F101" s="23"/>
      <c r="G101" s="23"/>
      <c r="H101" s="23" t="str">
        <f aca="false">IF(COUNT(D101:G101)=0,"",COUNT(D101:G101))</f>
        <v/>
      </c>
      <c r="I101" s="23"/>
      <c r="J101" s="23"/>
      <c r="K101" s="23"/>
      <c r="L101" s="23"/>
      <c r="M101" s="23"/>
    </row>
    <row r="102" customFormat="false" ht="15" hidden="false" customHeight="false" outlineLevel="0" collapsed="false">
      <c r="A102" s="22"/>
      <c r="B102" s="23"/>
      <c r="C102" s="23"/>
      <c r="D102" s="23"/>
      <c r="E102" s="23"/>
      <c r="F102" s="23"/>
      <c r="G102" s="23"/>
      <c r="H102" s="23" t="str">
        <f aca="false">IF(COUNT(D102:G102)=0,"",COUNT(D102:G102))</f>
        <v/>
      </c>
      <c r="I102" s="23"/>
      <c r="J102" s="23"/>
      <c r="K102" s="23"/>
      <c r="L102" s="23"/>
      <c r="M102" s="23"/>
    </row>
    <row r="103" customFormat="false" ht="15" hidden="false" customHeight="false" outlineLevel="0" collapsed="false">
      <c r="A103" s="22"/>
      <c r="B103" s="23"/>
      <c r="C103" s="23"/>
      <c r="D103" s="23"/>
      <c r="E103" s="23"/>
      <c r="F103" s="23"/>
      <c r="G103" s="23"/>
      <c r="H103" s="23" t="str">
        <f aca="false">IF(COUNT(D103:G103)=0,"",COUNT(D103:G103))</f>
        <v/>
      </c>
      <c r="I103" s="23"/>
      <c r="J103" s="23"/>
      <c r="K103" s="23"/>
      <c r="L103" s="23"/>
      <c r="M103" s="23"/>
    </row>
    <row r="104" customFormat="false" ht="15" hidden="false" customHeight="false" outlineLevel="0" collapsed="false">
      <c r="A104" s="22"/>
      <c r="B104" s="23"/>
      <c r="C104" s="23"/>
      <c r="D104" s="23"/>
      <c r="E104" s="23"/>
      <c r="F104" s="23"/>
      <c r="G104" s="23"/>
      <c r="H104" s="23" t="str">
        <f aca="false">IF(COUNT(D104:G104)=0,"",COUNT(D104:G104))</f>
        <v/>
      </c>
      <c r="I104" s="23"/>
      <c r="J104" s="23"/>
      <c r="K104" s="23"/>
      <c r="L104" s="23"/>
      <c r="M104" s="23"/>
    </row>
    <row r="105" customFormat="false" ht="15" hidden="false" customHeight="false" outlineLevel="0" collapsed="false">
      <c r="A105" s="22"/>
      <c r="B105" s="23"/>
      <c r="C105" s="23"/>
      <c r="D105" s="23"/>
      <c r="E105" s="23"/>
      <c r="F105" s="23"/>
      <c r="G105" s="23"/>
      <c r="H105" s="23" t="str">
        <f aca="false">IF(COUNT(D105:G105)=0,"",COUNT(D105:G105))</f>
        <v/>
      </c>
      <c r="I105" s="23"/>
      <c r="J105" s="23"/>
      <c r="K105" s="23"/>
      <c r="L105" s="23"/>
      <c r="M105" s="23"/>
    </row>
    <row r="106" customFormat="false" ht="15" hidden="false" customHeight="false" outlineLevel="0" collapsed="false">
      <c r="A106" s="22"/>
      <c r="B106" s="23"/>
      <c r="C106" s="23"/>
      <c r="D106" s="23"/>
      <c r="E106" s="23"/>
      <c r="F106" s="23"/>
      <c r="G106" s="23"/>
      <c r="H106" s="23" t="str">
        <f aca="false">IF(COUNT(D106:G106)=0,"",COUNT(D106:G106))</f>
        <v/>
      </c>
      <c r="I106" s="23"/>
      <c r="J106" s="23"/>
      <c r="K106" s="23"/>
      <c r="L106" s="23"/>
      <c r="M106" s="23"/>
    </row>
    <row r="107" customFormat="false" ht="15" hidden="false" customHeight="false" outlineLevel="0" collapsed="false">
      <c r="A107" s="22"/>
      <c r="B107" s="23"/>
      <c r="C107" s="23"/>
      <c r="D107" s="23"/>
      <c r="E107" s="23"/>
      <c r="F107" s="23"/>
      <c r="G107" s="23"/>
      <c r="H107" s="23" t="str">
        <f aca="false">IF(COUNT(D107:G107)=0,"",COUNT(D107:G107))</f>
        <v/>
      </c>
      <c r="I107" s="23"/>
      <c r="J107" s="23"/>
      <c r="K107" s="23"/>
      <c r="L107" s="23"/>
      <c r="M107" s="23"/>
    </row>
    <row r="108" customFormat="false" ht="15" hidden="false" customHeight="false" outlineLevel="0" collapsed="false">
      <c r="A108" s="22"/>
      <c r="B108" s="23"/>
      <c r="C108" s="23"/>
      <c r="D108" s="23"/>
      <c r="E108" s="23"/>
      <c r="F108" s="23"/>
      <c r="G108" s="23"/>
      <c r="H108" s="23" t="str">
        <f aca="false">IF(COUNT(D108:G108)=0,"",COUNT(D108:G108))</f>
        <v/>
      </c>
      <c r="I108" s="23"/>
      <c r="J108" s="23"/>
      <c r="K108" s="23"/>
      <c r="L108" s="23"/>
      <c r="M108" s="23"/>
    </row>
    <row r="109" customFormat="false" ht="15" hidden="false" customHeight="false" outlineLevel="0" collapsed="false">
      <c r="A109" s="22"/>
      <c r="B109" s="23"/>
      <c r="C109" s="23"/>
      <c r="D109" s="23"/>
      <c r="E109" s="23"/>
      <c r="F109" s="23"/>
      <c r="G109" s="23"/>
      <c r="H109" s="23" t="str">
        <f aca="false">IF(COUNT(D109:G109)=0,"",COUNT(D109:G109))</f>
        <v/>
      </c>
      <c r="I109" s="23"/>
      <c r="J109" s="23"/>
      <c r="K109" s="23"/>
      <c r="L109" s="23"/>
      <c r="M109" s="23"/>
    </row>
    <row r="110" customFormat="false" ht="15" hidden="false" customHeight="false" outlineLevel="0" collapsed="false">
      <c r="A110" s="22"/>
      <c r="B110" s="23"/>
      <c r="C110" s="23"/>
      <c r="D110" s="23"/>
      <c r="E110" s="23"/>
      <c r="F110" s="23"/>
      <c r="G110" s="23"/>
      <c r="H110" s="23" t="str">
        <f aca="false">IF(COUNT(D110:G110)=0,"",COUNT(D110:G110))</f>
        <v/>
      </c>
      <c r="I110" s="23"/>
      <c r="J110" s="23"/>
      <c r="K110" s="23"/>
      <c r="L110" s="23"/>
      <c r="M110" s="23"/>
    </row>
    <row r="111" customFormat="false" ht="15" hidden="false" customHeight="false" outlineLevel="0" collapsed="false">
      <c r="A111" s="22"/>
      <c r="B111" s="23"/>
      <c r="C111" s="23"/>
      <c r="D111" s="23"/>
      <c r="E111" s="23"/>
      <c r="F111" s="23"/>
      <c r="G111" s="23"/>
      <c r="H111" s="23" t="str">
        <f aca="false">IF(COUNT(D111:G111)=0,"",COUNT(D111:G111))</f>
        <v/>
      </c>
      <c r="I111" s="23"/>
      <c r="J111" s="23"/>
      <c r="K111" s="23"/>
      <c r="L111" s="23"/>
      <c r="M111" s="23"/>
    </row>
    <row r="112" customFormat="false" ht="15" hidden="false" customHeight="false" outlineLevel="0" collapsed="false">
      <c r="A112" s="22"/>
      <c r="B112" s="23"/>
      <c r="C112" s="23"/>
      <c r="D112" s="23"/>
      <c r="E112" s="23"/>
      <c r="F112" s="23"/>
      <c r="G112" s="23"/>
      <c r="H112" s="23" t="str">
        <f aca="false">IF(COUNT(D112:G112)=0,"",COUNT(D112:G112))</f>
        <v/>
      </c>
      <c r="I112" s="23"/>
      <c r="J112" s="23"/>
      <c r="K112" s="23"/>
      <c r="L112" s="23"/>
      <c r="M112" s="23"/>
    </row>
    <row r="113" customFormat="false" ht="15" hidden="false" customHeight="false" outlineLevel="0" collapsed="false">
      <c r="A113" s="22"/>
      <c r="B113" s="23"/>
      <c r="C113" s="23"/>
      <c r="D113" s="23"/>
      <c r="E113" s="23"/>
      <c r="F113" s="23"/>
      <c r="G113" s="23"/>
      <c r="H113" s="23" t="str">
        <f aca="false">IF(COUNT(D113:G113)=0,"",COUNT(D113:G113))</f>
        <v/>
      </c>
      <c r="I113" s="23"/>
      <c r="J113" s="23"/>
      <c r="K113" s="23"/>
      <c r="L113" s="23"/>
      <c r="M113" s="23"/>
    </row>
    <row r="114" customFormat="false" ht="15" hidden="false" customHeight="false" outlineLevel="0" collapsed="false">
      <c r="A114" s="22"/>
      <c r="B114" s="23"/>
      <c r="C114" s="23"/>
      <c r="D114" s="23"/>
      <c r="E114" s="23"/>
      <c r="F114" s="23"/>
      <c r="G114" s="23"/>
      <c r="H114" s="23" t="str">
        <f aca="false">IF(COUNT(D114:G114)=0,"",COUNT(D114:G114))</f>
        <v/>
      </c>
      <c r="I114" s="23"/>
      <c r="J114" s="23"/>
      <c r="K114" s="23"/>
      <c r="L114" s="23"/>
      <c r="M114" s="23"/>
    </row>
    <row r="115" customFormat="false" ht="15" hidden="false" customHeight="false" outlineLevel="0" collapsed="false">
      <c r="A115" s="22"/>
      <c r="B115" s="23"/>
      <c r="C115" s="23"/>
      <c r="D115" s="23"/>
      <c r="E115" s="23"/>
      <c r="F115" s="23"/>
      <c r="G115" s="23"/>
      <c r="H115" s="23" t="str">
        <f aca="false">IF(COUNT(D115:G115)=0,"",COUNT(D115:G115))</f>
        <v/>
      </c>
      <c r="I115" s="23"/>
      <c r="J115" s="23"/>
      <c r="K115" s="23"/>
      <c r="L115" s="23"/>
      <c r="M115" s="23"/>
    </row>
    <row r="116" customFormat="false" ht="15" hidden="false" customHeight="false" outlineLevel="0" collapsed="false">
      <c r="A116" s="22"/>
      <c r="B116" s="23"/>
      <c r="C116" s="23"/>
      <c r="D116" s="23"/>
      <c r="E116" s="23"/>
      <c r="F116" s="23"/>
      <c r="G116" s="23"/>
      <c r="H116" s="23" t="str">
        <f aca="false">IF(COUNT(D116:G116)=0,"",COUNT(D116:G116))</f>
        <v/>
      </c>
      <c r="I116" s="23"/>
      <c r="J116" s="23"/>
      <c r="K116" s="23"/>
      <c r="L116" s="23"/>
      <c r="M116" s="23"/>
    </row>
    <row r="117" customFormat="false" ht="15" hidden="false" customHeight="false" outlineLevel="0" collapsed="false">
      <c r="A117" s="22"/>
      <c r="B117" s="23"/>
      <c r="C117" s="23"/>
      <c r="D117" s="23"/>
      <c r="E117" s="23"/>
      <c r="F117" s="23"/>
      <c r="G117" s="23"/>
      <c r="H117" s="23" t="str">
        <f aca="false">IF(COUNT(D117:G117)=0,"",COUNT(D117:G117))</f>
        <v/>
      </c>
      <c r="I117" s="23"/>
      <c r="J117" s="23"/>
      <c r="K117" s="23"/>
      <c r="L117" s="23"/>
      <c r="M117" s="23"/>
    </row>
    <row r="118" customFormat="false" ht="15" hidden="false" customHeight="false" outlineLevel="0" collapsed="false">
      <c r="A118" s="22"/>
      <c r="B118" s="23"/>
      <c r="C118" s="23"/>
      <c r="D118" s="23"/>
      <c r="E118" s="23"/>
      <c r="F118" s="23"/>
      <c r="G118" s="23"/>
      <c r="H118" s="23" t="str">
        <f aca="false">IF(COUNT(D118:G118)=0,"",COUNT(D118:G118))</f>
        <v/>
      </c>
      <c r="I118" s="23"/>
      <c r="J118" s="23"/>
      <c r="K118" s="23"/>
      <c r="L118" s="23"/>
      <c r="M118" s="23"/>
    </row>
    <row r="119" customFormat="false" ht="15" hidden="false" customHeight="false" outlineLevel="0" collapsed="false">
      <c r="A119" s="22"/>
      <c r="B119" s="23"/>
      <c r="C119" s="23"/>
      <c r="D119" s="23"/>
      <c r="E119" s="23"/>
      <c r="F119" s="23"/>
      <c r="G119" s="23"/>
      <c r="H119" s="23" t="str">
        <f aca="false">IF(COUNT(D119:G119)=0,"",COUNT(D119:G119))</f>
        <v/>
      </c>
      <c r="I119" s="23"/>
      <c r="J119" s="23"/>
      <c r="K119" s="23"/>
      <c r="L119" s="23"/>
      <c r="M119" s="23"/>
    </row>
    <row r="120" customFormat="false" ht="15" hidden="false" customHeight="false" outlineLevel="0" collapsed="false">
      <c r="A120" s="22"/>
      <c r="B120" s="23"/>
      <c r="C120" s="23"/>
      <c r="D120" s="23"/>
      <c r="E120" s="23"/>
      <c r="F120" s="23"/>
      <c r="G120" s="23"/>
      <c r="H120" s="23" t="str">
        <f aca="false">IF(COUNT(D120:G120)=0,"",COUNT(D120:G120))</f>
        <v/>
      </c>
      <c r="I120" s="23"/>
      <c r="J120" s="23"/>
      <c r="K120" s="23"/>
      <c r="L120" s="23"/>
      <c r="M120" s="23"/>
    </row>
    <row r="121" customFormat="false" ht="15" hidden="false" customHeight="false" outlineLevel="0" collapsed="false">
      <c r="A121" s="22"/>
      <c r="B121" s="23"/>
      <c r="C121" s="23"/>
      <c r="D121" s="23"/>
      <c r="E121" s="23"/>
      <c r="F121" s="23"/>
      <c r="G121" s="23"/>
      <c r="H121" s="23" t="str">
        <f aca="false">IF(COUNT(D121:G121)=0,"",COUNT(D121:G121))</f>
        <v/>
      </c>
      <c r="I121" s="23"/>
      <c r="J121" s="23"/>
      <c r="K121" s="23"/>
      <c r="L121" s="23"/>
      <c r="M121" s="23"/>
    </row>
    <row r="122" customFormat="false" ht="15" hidden="false" customHeight="false" outlineLevel="0" collapsed="false">
      <c r="A122" s="22"/>
      <c r="B122" s="23"/>
      <c r="C122" s="23"/>
      <c r="D122" s="23"/>
      <c r="E122" s="23"/>
      <c r="F122" s="23"/>
      <c r="G122" s="23"/>
      <c r="H122" s="23" t="str">
        <f aca="false">IF(COUNT(D122:G122)=0,"",COUNT(D122:G122))</f>
        <v/>
      </c>
      <c r="I122" s="23"/>
      <c r="J122" s="23"/>
      <c r="K122" s="23"/>
      <c r="L122" s="23"/>
      <c r="M122" s="23"/>
    </row>
    <row r="123" customFormat="false" ht="15" hidden="false" customHeight="false" outlineLevel="0" collapsed="false">
      <c r="A123" s="22"/>
      <c r="B123" s="23"/>
      <c r="C123" s="23"/>
      <c r="D123" s="23"/>
      <c r="E123" s="23"/>
      <c r="F123" s="23"/>
      <c r="G123" s="23"/>
      <c r="H123" s="23" t="str">
        <f aca="false">IF(COUNT(D123:G123)=0,"",COUNT(D123:G123))</f>
        <v/>
      </c>
      <c r="I123" s="23"/>
      <c r="J123" s="23"/>
      <c r="K123" s="23"/>
      <c r="L123" s="23"/>
      <c r="M123" s="23"/>
    </row>
    <row r="124" customFormat="false" ht="15" hidden="false" customHeight="false" outlineLevel="0" collapsed="false">
      <c r="A124" s="22"/>
      <c r="B124" s="23"/>
      <c r="C124" s="23"/>
      <c r="D124" s="23"/>
      <c r="E124" s="23"/>
      <c r="F124" s="23"/>
      <c r="G124" s="23"/>
      <c r="H124" s="23" t="str">
        <f aca="false">IF(COUNT(D124:G124)=0,"",COUNT(D124:G124))</f>
        <v/>
      </c>
      <c r="I124" s="23"/>
      <c r="J124" s="23"/>
      <c r="K124" s="23"/>
      <c r="L124" s="23"/>
      <c r="M124" s="23"/>
    </row>
    <row r="125" customFormat="false" ht="15" hidden="false" customHeight="false" outlineLevel="0" collapsed="false">
      <c r="A125" s="22"/>
      <c r="B125" s="23"/>
      <c r="C125" s="23"/>
      <c r="D125" s="23"/>
      <c r="E125" s="23"/>
      <c r="F125" s="23"/>
      <c r="G125" s="23"/>
      <c r="H125" s="23" t="str">
        <f aca="false">IF(COUNT(D125:G125)=0,"",COUNT(D125:G125))</f>
        <v/>
      </c>
      <c r="I125" s="23"/>
      <c r="J125" s="23"/>
      <c r="K125" s="23"/>
      <c r="L125" s="23"/>
      <c r="M125" s="23"/>
    </row>
    <row r="126" customFormat="false" ht="15" hidden="false" customHeight="false" outlineLevel="0" collapsed="false">
      <c r="A126" s="22"/>
      <c r="B126" s="23"/>
      <c r="C126" s="23"/>
      <c r="D126" s="23"/>
      <c r="E126" s="23"/>
      <c r="F126" s="23"/>
      <c r="G126" s="23"/>
      <c r="H126" s="23" t="str">
        <f aca="false">IF(COUNT(D126:G126)=0,"",COUNT(D126:G126))</f>
        <v/>
      </c>
      <c r="I126" s="23"/>
      <c r="J126" s="23"/>
      <c r="K126" s="23"/>
      <c r="L126" s="23"/>
      <c r="M126" s="23"/>
    </row>
    <row r="127" customFormat="false" ht="15" hidden="false" customHeight="false" outlineLevel="0" collapsed="false">
      <c r="A127" s="22"/>
      <c r="B127" s="23"/>
      <c r="C127" s="23"/>
      <c r="D127" s="23"/>
      <c r="E127" s="23"/>
      <c r="F127" s="23"/>
      <c r="G127" s="23"/>
      <c r="H127" s="23" t="str">
        <f aca="false">IF(COUNT(D127:G127)=0,"",COUNT(D127:G127))</f>
        <v/>
      </c>
      <c r="I127" s="23"/>
      <c r="J127" s="23"/>
      <c r="K127" s="23"/>
      <c r="L127" s="23"/>
      <c r="M127" s="23"/>
    </row>
    <row r="128" customFormat="false" ht="15" hidden="false" customHeight="false" outlineLevel="0" collapsed="false">
      <c r="A128" s="22"/>
      <c r="B128" s="23"/>
      <c r="C128" s="23"/>
      <c r="D128" s="23"/>
      <c r="E128" s="23"/>
      <c r="F128" s="23"/>
      <c r="G128" s="23"/>
      <c r="H128" s="23" t="str">
        <f aca="false">IF(COUNT(D128:G128)=0,"",COUNT(D128:G128))</f>
        <v/>
      </c>
      <c r="I128" s="23"/>
      <c r="J128" s="23"/>
      <c r="K128" s="23"/>
      <c r="L128" s="23"/>
      <c r="M128" s="23"/>
    </row>
    <row r="129" customFormat="false" ht="15" hidden="false" customHeight="false" outlineLevel="0" collapsed="false">
      <c r="A129" s="22"/>
      <c r="B129" s="23"/>
      <c r="C129" s="23"/>
      <c r="D129" s="23"/>
      <c r="E129" s="23"/>
      <c r="F129" s="23"/>
      <c r="G129" s="23"/>
      <c r="H129" s="23" t="str">
        <f aca="false">IF(COUNT(D129:G129)=0,"",COUNT(D129:G129))</f>
        <v/>
      </c>
      <c r="I129" s="23"/>
      <c r="J129" s="23"/>
      <c r="K129" s="23"/>
      <c r="L129" s="23"/>
      <c r="M129" s="23"/>
    </row>
    <row r="130" customFormat="false" ht="15" hidden="false" customHeight="false" outlineLevel="0" collapsed="false">
      <c r="A130" s="22"/>
      <c r="B130" s="23"/>
      <c r="C130" s="23"/>
      <c r="D130" s="23"/>
      <c r="E130" s="23"/>
      <c r="F130" s="23"/>
      <c r="G130" s="23"/>
      <c r="H130" s="23" t="str">
        <f aca="false">IF(COUNT(D130:G130)=0,"",COUNT(D130:G130))</f>
        <v/>
      </c>
      <c r="I130" s="23"/>
      <c r="J130" s="23"/>
      <c r="K130" s="23"/>
      <c r="L130" s="23"/>
      <c r="M130" s="23"/>
    </row>
    <row r="131" customFormat="false" ht="15" hidden="false" customHeight="false" outlineLevel="0" collapsed="false">
      <c r="A131" s="22"/>
      <c r="B131" s="23"/>
      <c r="C131" s="23"/>
      <c r="D131" s="23"/>
      <c r="E131" s="23"/>
      <c r="F131" s="23"/>
      <c r="G131" s="23"/>
      <c r="H131" s="23" t="str">
        <f aca="false">IF(COUNT(D131:G131)=0,"",COUNT(D131:G131))</f>
        <v/>
      </c>
      <c r="I131" s="23"/>
      <c r="J131" s="23"/>
      <c r="K131" s="23"/>
      <c r="L131" s="23"/>
      <c r="M131" s="23"/>
    </row>
    <row r="132" customFormat="false" ht="15" hidden="false" customHeight="false" outlineLevel="0" collapsed="false">
      <c r="A132" s="22"/>
      <c r="B132" s="23"/>
      <c r="C132" s="23"/>
      <c r="D132" s="23"/>
      <c r="E132" s="23"/>
      <c r="F132" s="23"/>
      <c r="G132" s="23"/>
      <c r="H132" s="23" t="str">
        <f aca="false">IF(COUNT(D132:G132)=0,"",COUNT(D132:G132))</f>
        <v/>
      </c>
      <c r="I132" s="23"/>
      <c r="J132" s="23"/>
      <c r="K132" s="23"/>
      <c r="L132" s="23"/>
      <c r="M132" s="23"/>
    </row>
    <row r="133" customFormat="false" ht="15" hidden="false" customHeight="false" outlineLevel="0" collapsed="false">
      <c r="A133" s="22"/>
      <c r="B133" s="23"/>
      <c r="C133" s="23"/>
      <c r="D133" s="23"/>
      <c r="E133" s="23"/>
      <c r="F133" s="23"/>
      <c r="G133" s="23"/>
      <c r="H133" s="23" t="str">
        <f aca="false">IF(COUNT(D133:G133)=0,"",COUNT(D133:G133))</f>
        <v/>
      </c>
      <c r="I133" s="23"/>
      <c r="J133" s="23"/>
      <c r="K133" s="23"/>
      <c r="L133" s="23"/>
      <c r="M133" s="23"/>
    </row>
    <row r="134" customFormat="false" ht="15" hidden="false" customHeight="false" outlineLevel="0" collapsed="false">
      <c r="A134" s="22"/>
      <c r="B134" s="23"/>
      <c r="C134" s="23"/>
      <c r="D134" s="23"/>
      <c r="E134" s="23"/>
      <c r="F134" s="23"/>
      <c r="G134" s="23"/>
      <c r="H134" s="23" t="str">
        <f aca="false">IF(COUNT(D134:G134)=0,"",COUNT(D134:G134))</f>
        <v/>
      </c>
      <c r="I134" s="23"/>
      <c r="J134" s="23"/>
      <c r="K134" s="23"/>
      <c r="L134" s="23"/>
      <c r="M134" s="23"/>
    </row>
    <row r="135" customFormat="false" ht="15" hidden="false" customHeight="false" outlineLevel="0" collapsed="false">
      <c r="A135" s="22"/>
      <c r="B135" s="23"/>
      <c r="C135" s="23"/>
      <c r="D135" s="23"/>
      <c r="E135" s="23"/>
      <c r="F135" s="23"/>
      <c r="G135" s="23"/>
      <c r="H135" s="23" t="str">
        <f aca="false">IF(COUNT(D135:G135)=0,"",COUNT(D135:G135))</f>
        <v/>
      </c>
      <c r="I135" s="23"/>
      <c r="J135" s="23"/>
      <c r="K135" s="23"/>
      <c r="L135" s="23"/>
      <c r="M135" s="23"/>
    </row>
    <row r="136" customFormat="false" ht="15" hidden="false" customHeight="false" outlineLevel="0" collapsed="false">
      <c r="A136" s="22"/>
      <c r="B136" s="23"/>
      <c r="C136" s="23"/>
      <c r="D136" s="23"/>
      <c r="E136" s="23"/>
      <c r="F136" s="23"/>
      <c r="G136" s="23"/>
      <c r="H136" s="23" t="str">
        <f aca="false">IF(COUNT(D136:G136)=0,"",COUNT(D136:G136))</f>
        <v/>
      </c>
      <c r="I136" s="23"/>
      <c r="J136" s="23"/>
      <c r="K136" s="23"/>
      <c r="L136" s="23"/>
      <c r="M136" s="23"/>
    </row>
    <row r="137" customFormat="false" ht="15" hidden="false" customHeight="false" outlineLevel="0" collapsed="false">
      <c r="A137" s="22"/>
      <c r="B137" s="23"/>
      <c r="C137" s="23"/>
      <c r="D137" s="23"/>
      <c r="E137" s="23"/>
      <c r="F137" s="23"/>
      <c r="G137" s="23"/>
      <c r="H137" s="23" t="str">
        <f aca="false">IF(COUNT(D137:G137)=0,"",COUNT(D137:G137))</f>
        <v/>
      </c>
      <c r="I137" s="23"/>
      <c r="J137" s="23"/>
      <c r="K137" s="23"/>
      <c r="L137" s="23"/>
      <c r="M137" s="23"/>
    </row>
    <row r="138" customFormat="false" ht="15" hidden="false" customHeight="false" outlineLevel="0" collapsed="false">
      <c r="A138" s="22"/>
      <c r="B138" s="23"/>
      <c r="C138" s="23"/>
      <c r="D138" s="23"/>
      <c r="E138" s="23"/>
      <c r="F138" s="23"/>
      <c r="G138" s="23"/>
      <c r="H138" s="23" t="str">
        <f aca="false">IF(COUNT(D138:G138)=0,"",COUNT(D138:G138))</f>
        <v/>
      </c>
      <c r="I138" s="23"/>
      <c r="J138" s="23"/>
      <c r="K138" s="23"/>
      <c r="L138" s="23"/>
      <c r="M138" s="23"/>
    </row>
    <row r="139" customFormat="false" ht="15" hidden="false" customHeight="false" outlineLevel="0" collapsed="false">
      <c r="A139" s="22"/>
      <c r="B139" s="23"/>
      <c r="C139" s="23"/>
      <c r="D139" s="23"/>
      <c r="E139" s="23"/>
      <c r="F139" s="23"/>
      <c r="G139" s="23"/>
      <c r="H139" s="23" t="str">
        <f aca="false">IF(COUNT(D139:G139)=0,"",COUNT(D139:G139))</f>
        <v/>
      </c>
      <c r="I139" s="23"/>
      <c r="J139" s="23"/>
      <c r="K139" s="23"/>
      <c r="L139" s="23"/>
      <c r="M139" s="23"/>
    </row>
    <row r="140" customFormat="false" ht="15" hidden="false" customHeight="false" outlineLevel="0" collapsed="false">
      <c r="A140" s="22"/>
      <c r="B140" s="23"/>
      <c r="C140" s="23"/>
      <c r="D140" s="23"/>
      <c r="E140" s="23"/>
      <c r="F140" s="23"/>
      <c r="G140" s="23"/>
      <c r="H140" s="23" t="str">
        <f aca="false">IF(COUNT(D140:G140)=0,"",COUNT(D140:G140))</f>
        <v/>
      </c>
      <c r="I140" s="23"/>
      <c r="J140" s="23"/>
      <c r="K140" s="23"/>
      <c r="L140" s="23"/>
      <c r="M140" s="23"/>
    </row>
    <row r="141" customFormat="false" ht="15" hidden="false" customHeight="false" outlineLevel="0" collapsed="false">
      <c r="A141" s="22"/>
      <c r="B141" s="23"/>
      <c r="C141" s="23"/>
      <c r="D141" s="23"/>
      <c r="E141" s="23"/>
      <c r="F141" s="23"/>
      <c r="G141" s="23"/>
      <c r="H141" s="23" t="str">
        <f aca="false">IF(COUNT(D141:G141)=0,"",COUNT(D141:G141))</f>
        <v/>
      </c>
      <c r="I141" s="23"/>
      <c r="J141" s="23"/>
      <c r="K141" s="23"/>
      <c r="L141" s="23"/>
      <c r="M141" s="23"/>
    </row>
    <row r="142" customFormat="false" ht="15" hidden="false" customHeight="false" outlineLevel="0" collapsed="false">
      <c r="A142" s="22"/>
      <c r="B142" s="23"/>
      <c r="C142" s="23"/>
      <c r="D142" s="23"/>
      <c r="E142" s="23"/>
      <c r="F142" s="23"/>
      <c r="G142" s="23"/>
      <c r="H142" s="23" t="str">
        <f aca="false">IF(COUNT(D142:G142)=0,"",COUNT(D142:G142))</f>
        <v/>
      </c>
      <c r="I142" s="23"/>
      <c r="J142" s="23"/>
      <c r="K142" s="23"/>
      <c r="L142" s="23"/>
      <c r="M142" s="23"/>
    </row>
    <row r="143" customFormat="false" ht="15" hidden="false" customHeight="false" outlineLevel="0" collapsed="false">
      <c r="A143" s="22"/>
      <c r="B143" s="23"/>
      <c r="C143" s="23"/>
      <c r="D143" s="23"/>
      <c r="E143" s="23"/>
      <c r="F143" s="23"/>
      <c r="G143" s="23"/>
      <c r="H143" s="23" t="str">
        <f aca="false">IF(COUNT(D143:G143)=0,"",COUNT(D143:G143))</f>
        <v/>
      </c>
      <c r="I143" s="23"/>
      <c r="J143" s="23"/>
      <c r="K143" s="23"/>
      <c r="L143" s="23"/>
      <c r="M143" s="23"/>
    </row>
    <row r="144" customFormat="false" ht="15" hidden="false" customHeight="false" outlineLevel="0" collapsed="false">
      <c r="A144" s="22"/>
      <c r="B144" s="23"/>
      <c r="C144" s="23"/>
      <c r="D144" s="23"/>
      <c r="E144" s="23"/>
      <c r="F144" s="23"/>
      <c r="G144" s="23"/>
      <c r="H144" s="23" t="str">
        <f aca="false">IF(COUNT(D144:G144)=0,"",COUNT(D144:G144))</f>
        <v/>
      </c>
      <c r="I144" s="23"/>
      <c r="J144" s="23"/>
      <c r="K144" s="23"/>
      <c r="L144" s="23"/>
      <c r="M144" s="23"/>
    </row>
    <row r="145" customFormat="false" ht="15" hidden="false" customHeight="false" outlineLevel="0" collapsed="false">
      <c r="A145" s="22"/>
      <c r="B145" s="23"/>
      <c r="C145" s="23"/>
      <c r="D145" s="23"/>
      <c r="E145" s="23"/>
      <c r="F145" s="23"/>
      <c r="G145" s="23"/>
      <c r="H145" s="23" t="str">
        <f aca="false">IF(COUNT(D145:G145)=0,"",COUNT(D145:G145))</f>
        <v/>
      </c>
      <c r="I145" s="23"/>
      <c r="J145" s="23"/>
      <c r="K145" s="23"/>
      <c r="L145" s="23"/>
      <c r="M145" s="23"/>
    </row>
    <row r="146" customFormat="false" ht="15" hidden="false" customHeight="false" outlineLevel="0" collapsed="false">
      <c r="A146" s="22"/>
      <c r="B146" s="23"/>
      <c r="C146" s="23"/>
      <c r="D146" s="23"/>
      <c r="E146" s="23"/>
      <c r="F146" s="23"/>
      <c r="G146" s="23"/>
      <c r="H146" s="23" t="str">
        <f aca="false">IF(COUNT(D146:G146)=0,"",COUNT(D146:G146))</f>
        <v/>
      </c>
      <c r="I146" s="23"/>
      <c r="J146" s="23"/>
      <c r="K146" s="23"/>
      <c r="L146" s="23"/>
      <c r="M146" s="23"/>
    </row>
    <row r="147" customFormat="false" ht="15" hidden="false" customHeight="false" outlineLevel="0" collapsed="false">
      <c r="A147" s="22"/>
      <c r="B147" s="23"/>
      <c r="C147" s="23"/>
      <c r="D147" s="23"/>
      <c r="E147" s="23"/>
      <c r="F147" s="23"/>
      <c r="G147" s="23"/>
      <c r="H147" s="23" t="str">
        <f aca="false">IF(COUNT(D147:G147)=0,"",COUNT(D147:G147))</f>
        <v/>
      </c>
      <c r="I147" s="23"/>
      <c r="J147" s="23"/>
      <c r="K147" s="23"/>
      <c r="L147" s="23"/>
      <c r="M147" s="23"/>
    </row>
    <row r="148" customFormat="false" ht="15" hidden="false" customHeight="false" outlineLevel="0" collapsed="false">
      <c r="A148" s="22"/>
      <c r="B148" s="23"/>
      <c r="C148" s="23"/>
      <c r="D148" s="23"/>
      <c r="E148" s="23"/>
      <c r="F148" s="23"/>
      <c r="G148" s="23"/>
      <c r="H148" s="23" t="str">
        <f aca="false">IF(COUNT(D148:G148)=0,"",COUNT(D148:G148))</f>
        <v/>
      </c>
      <c r="I148" s="23"/>
      <c r="J148" s="23"/>
      <c r="K148" s="23"/>
      <c r="L148" s="23"/>
      <c r="M148" s="23"/>
    </row>
    <row r="149" customFormat="false" ht="15" hidden="false" customHeight="false" outlineLevel="0" collapsed="false">
      <c r="A149" s="22"/>
      <c r="B149" s="23"/>
      <c r="C149" s="23"/>
      <c r="D149" s="23"/>
      <c r="E149" s="23"/>
      <c r="F149" s="23"/>
      <c r="G149" s="23"/>
      <c r="H149" s="23" t="str">
        <f aca="false">IF(COUNT(D149:G149)=0,"",COUNT(D149:G149))</f>
        <v/>
      </c>
      <c r="I149" s="23"/>
      <c r="J149" s="23"/>
      <c r="K149" s="23"/>
      <c r="L149" s="23"/>
      <c r="M149" s="23"/>
    </row>
    <row r="150" customFormat="false" ht="15" hidden="false" customHeight="false" outlineLevel="0" collapsed="false">
      <c r="A150" s="22"/>
      <c r="B150" s="23"/>
      <c r="C150" s="23"/>
      <c r="D150" s="23"/>
      <c r="E150" s="23"/>
      <c r="F150" s="23"/>
      <c r="G150" s="23"/>
      <c r="H150" s="23" t="str">
        <f aca="false">IF(COUNT(D150:G150)=0,"",COUNT(D150:G150))</f>
        <v/>
      </c>
      <c r="I150" s="23"/>
      <c r="J150" s="23"/>
      <c r="K150" s="23"/>
      <c r="L150" s="23"/>
      <c r="M150" s="23"/>
    </row>
    <row r="151" customFormat="false" ht="15" hidden="false" customHeight="false" outlineLevel="0" collapsed="false">
      <c r="A151" s="22"/>
      <c r="B151" s="23"/>
      <c r="C151" s="23"/>
      <c r="D151" s="23"/>
      <c r="E151" s="23"/>
      <c r="F151" s="23"/>
      <c r="G151" s="23"/>
      <c r="H151" s="23" t="str">
        <f aca="false">IF(COUNT(D151:G151)=0,"",COUNT(D151:G151))</f>
        <v/>
      </c>
      <c r="I151" s="23"/>
      <c r="J151" s="23"/>
      <c r="K151" s="23"/>
      <c r="L151" s="23"/>
      <c r="M151" s="23"/>
    </row>
    <row r="152" customFormat="false" ht="15" hidden="false" customHeight="false" outlineLevel="0" collapsed="false">
      <c r="A152" s="22"/>
      <c r="B152" s="23"/>
      <c r="C152" s="23"/>
      <c r="D152" s="23"/>
      <c r="E152" s="23"/>
      <c r="F152" s="23"/>
      <c r="G152" s="23"/>
      <c r="H152" s="23" t="str">
        <f aca="false">IF(COUNT(D152:G152)=0,"",COUNT(D152:G152))</f>
        <v/>
      </c>
      <c r="I152" s="23"/>
      <c r="J152" s="23"/>
      <c r="K152" s="23"/>
      <c r="L152" s="23"/>
      <c r="M152" s="23"/>
    </row>
    <row r="153" customFormat="false" ht="15" hidden="false" customHeight="false" outlineLevel="0" collapsed="false">
      <c r="A153" s="22"/>
      <c r="B153" s="23"/>
      <c r="C153" s="23"/>
      <c r="D153" s="23"/>
      <c r="E153" s="23"/>
      <c r="F153" s="23"/>
      <c r="G153" s="23"/>
      <c r="H153" s="23" t="str">
        <f aca="false">IF(COUNT(D153:G153)=0,"",COUNT(D153:G153))</f>
        <v/>
      </c>
      <c r="I153" s="23"/>
      <c r="J153" s="23"/>
      <c r="K153" s="23"/>
      <c r="L153" s="23"/>
      <c r="M153" s="23"/>
    </row>
    <row r="154" customFormat="false" ht="15" hidden="false" customHeight="false" outlineLevel="0" collapsed="false">
      <c r="A154" s="22"/>
      <c r="B154" s="23"/>
      <c r="C154" s="23"/>
      <c r="D154" s="23"/>
      <c r="E154" s="23"/>
      <c r="F154" s="23"/>
      <c r="G154" s="23"/>
      <c r="H154" s="23" t="str">
        <f aca="false">IF(COUNT(D154:G154)=0,"",COUNT(D154:G154))</f>
        <v/>
      </c>
      <c r="I154" s="23"/>
      <c r="J154" s="23"/>
      <c r="K154" s="23"/>
      <c r="L154" s="23"/>
      <c r="M154" s="23"/>
    </row>
    <row r="155" customFormat="false" ht="15" hidden="false" customHeight="false" outlineLevel="0" collapsed="false">
      <c r="A155" s="22"/>
      <c r="B155" s="23"/>
      <c r="C155" s="23"/>
      <c r="D155" s="23"/>
      <c r="E155" s="23"/>
      <c r="F155" s="23"/>
      <c r="G155" s="23"/>
      <c r="H155" s="23" t="str">
        <f aca="false">IF(COUNT(D155:G155)=0,"",COUNT(D155:G155))</f>
        <v/>
      </c>
      <c r="I155" s="23"/>
      <c r="J155" s="23"/>
      <c r="K155" s="23"/>
      <c r="L155" s="23"/>
      <c r="M155" s="23"/>
    </row>
    <row r="156" customFormat="false" ht="15" hidden="false" customHeight="false" outlineLevel="0" collapsed="false">
      <c r="A156" s="22"/>
      <c r="B156" s="23"/>
      <c r="C156" s="23"/>
      <c r="D156" s="23"/>
      <c r="E156" s="23"/>
      <c r="F156" s="23"/>
      <c r="G156" s="23"/>
      <c r="H156" s="23" t="str">
        <f aca="false">IF(COUNT(D156:G156)=0,"",COUNT(D156:G156))</f>
        <v/>
      </c>
      <c r="I156" s="23"/>
      <c r="J156" s="23"/>
      <c r="K156" s="23"/>
      <c r="L156" s="23"/>
      <c r="M156" s="23"/>
    </row>
    <row r="157" customFormat="false" ht="15" hidden="false" customHeight="false" outlineLevel="0" collapsed="false">
      <c r="A157" s="22"/>
      <c r="B157" s="23"/>
      <c r="C157" s="23"/>
      <c r="D157" s="23"/>
      <c r="E157" s="23"/>
      <c r="F157" s="23"/>
      <c r="G157" s="23"/>
      <c r="H157" s="23" t="str">
        <f aca="false">IF(COUNT(D157:G157)=0,"",COUNT(D157:G157))</f>
        <v/>
      </c>
      <c r="I157" s="23"/>
      <c r="J157" s="23"/>
      <c r="K157" s="23"/>
      <c r="L157" s="23"/>
      <c r="M157" s="23"/>
    </row>
    <row r="158" customFormat="false" ht="15" hidden="false" customHeight="false" outlineLevel="0" collapsed="false">
      <c r="A158" s="22"/>
      <c r="B158" s="23"/>
      <c r="C158" s="23"/>
      <c r="D158" s="23"/>
      <c r="E158" s="23"/>
      <c r="F158" s="23"/>
      <c r="G158" s="23"/>
      <c r="H158" s="23" t="str">
        <f aca="false">IF(COUNT(D158:G158)=0,"",COUNT(D158:G158))</f>
        <v/>
      </c>
      <c r="I158" s="23"/>
      <c r="J158" s="23"/>
      <c r="K158" s="23"/>
      <c r="L158" s="23"/>
      <c r="M158" s="23"/>
    </row>
    <row r="159" customFormat="false" ht="15" hidden="false" customHeight="false" outlineLevel="0" collapsed="false">
      <c r="A159" s="22"/>
      <c r="B159" s="23"/>
      <c r="C159" s="23"/>
      <c r="D159" s="23"/>
      <c r="E159" s="23"/>
      <c r="F159" s="23"/>
      <c r="G159" s="23"/>
      <c r="H159" s="23" t="str">
        <f aca="false">IF(COUNT(D159:G159)=0,"",COUNT(D159:G159))</f>
        <v/>
      </c>
      <c r="I159" s="23"/>
      <c r="J159" s="23"/>
      <c r="K159" s="23"/>
      <c r="L159" s="23"/>
      <c r="M159" s="23"/>
    </row>
    <row r="160" customFormat="false" ht="15" hidden="false" customHeight="false" outlineLevel="0" collapsed="false">
      <c r="A160" s="22"/>
      <c r="B160" s="23"/>
      <c r="C160" s="23"/>
      <c r="D160" s="23"/>
      <c r="E160" s="23"/>
      <c r="F160" s="23"/>
      <c r="G160" s="23"/>
      <c r="H160" s="23" t="str">
        <f aca="false">IF(COUNT(D160:G160)=0,"",COUNT(D160:G160))</f>
        <v/>
      </c>
      <c r="I160" s="23"/>
      <c r="J160" s="23"/>
      <c r="K160" s="23"/>
      <c r="L160" s="23"/>
      <c r="M160" s="23"/>
    </row>
    <row r="161" customFormat="false" ht="15" hidden="false" customHeight="false" outlineLevel="0" collapsed="false">
      <c r="A161" s="22"/>
      <c r="B161" s="23"/>
      <c r="C161" s="23"/>
      <c r="D161" s="23"/>
      <c r="E161" s="23"/>
      <c r="F161" s="23"/>
      <c r="G161" s="23"/>
      <c r="H161" s="23" t="str">
        <f aca="false">IF(COUNT(D161:G161)=0,"",COUNT(D161:G161))</f>
        <v/>
      </c>
      <c r="I161" s="23"/>
      <c r="J161" s="23"/>
      <c r="K161" s="23"/>
      <c r="L161" s="23"/>
      <c r="M161" s="23"/>
    </row>
    <row r="162" customFormat="false" ht="15" hidden="false" customHeight="false" outlineLevel="0" collapsed="false">
      <c r="A162" s="22"/>
      <c r="B162" s="23"/>
      <c r="C162" s="23"/>
      <c r="D162" s="23"/>
      <c r="E162" s="23"/>
      <c r="F162" s="23"/>
      <c r="G162" s="23"/>
      <c r="H162" s="23" t="str">
        <f aca="false">IF(COUNT(D162:G162)=0,"",COUNT(D162:G162))</f>
        <v/>
      </c>
      <c r="I162" s="23"/>
      <c r="J162" s="23"/>
      <c r="K162" s="23"/>
      <c r="L162" s="23"/>
      <c r="M162" s="23"/>
    </row>
    <row r="163" customFormat="false" ht="15" hidden="false" customHeight="false" outlineLevel="0" collapsed="false">
      <c r="A163" s="22"/>
      <c r="B163" s="23"/>
      <c r="C163" s="23"/>
      <c r="D163" s="23"/>
      <c r="E163" s="23"/>
      <c r="F163" s="23"/>
      <c r="G163" s="23"/>
      <c r="H163" s="23" t="str">
        <f aca="false">IF(COUNT(D163:G163)=0,"",COUNT(D163:G163))</f>
        <v/>
      </c>
      <c r="I163" s="23"/>
      <c r="J163" s="23"/>
      <c r="K163" s="23"/>
      <c r="L163" s="23"/>
      <c r="M163" s="23"/>
    </row>
    <row r="164" customFormat="false" ht="15" hidden="false" customHeight="false" outlineLevel="0" collapsed="false">
      <c r="A164" s="22"/>
      <c r="B164" s="23"/>
      <c r="C164" s="23"/>
      <c r="D164" s="23"/>
      <c r="E164" s="23"/>
      <c r="F164" s="23"/>
      <c r="G164" s="23"/>
      <c r="H164" s="23" t="str">
        <f aca="false">IF(COUNT(D164:G164)=0,"",COUNT(D164:G164))</f>
        <v/>
      </c>
      <c r="I164" s="23"/>
      <c r="J164" s="23"/>
      <c r="K164" s="23"/>
      <c r="L164" s="23"/>
      <c r="M164" s="23"/>
    </row>
    <row r="165" customFormat="false" ht="15" hidden="false" customHeight="false" outlineLevel="0" collapsed="false">
      <c r="A165" s="22"/>
      <c r="B165" s="23"/>
      <c r="C165" s="23"/>
      <c r="D165" s="23"/>
      <c r="E165" s="23"/>
      <c r="F165" s="23"/>
      <c r="G165" s="23"/>
      <c r="H165" s="23" t="str">
        <f aca="false">IF(COUNT(D165:G165)=0,"",COUNT(D165:G165))</f>
        <v/>
      </c>
      <c r="I165" s="23"/>
      <c r="J165" s="23"/>
      <c r="K165" s="23"/>
      <c r="L165" s="23"/>
      <c r="M165" s="23"/>
    </row>
    <row r="166" customFormat="false" ht="15" hidden="false" customHeight="false" outlineLevel="0" collapsed="false">
      <c r="A166" s="22"/>
      <c r="B166" s="23"/>
      <c r="C166" s="23"/>
      <c r="D166" s="23"/>
      <c r="E166" s="23"/>
      <c r="F166" s="23"/>
      <c r="G166" s="23"/>
      <c r="H166" s="23" t="str">
        <f aca="false">IF(COUNT(D166:G166)=0,"",COUNT(D166:G166))</f>
        <v/>
      </c>
      <c r="I166" s="23"/>
      <c r="J166" s="23"/>
      <c r="K166" s="23"/>
      <c r="L166" s="23"/>
      <c r="M166" s="23"/>
    </row>
    <row r="167" customFormat="false" ht="15" hidden="false" customHeight="false" outlineLevel="0" collapsed="false">
      <c r="A167" s="22"/>
      <c r="B167" s="23"/>
      <c r="C167" s="23"/>
      <c r="D167" s="23"/>
      <c r="E167" s="23"/>
      <c r="F167" s="23"/>
      <c r="G167" s="23"/>
      <c r="H167" s="23" t="str">
        <f aca="false">IF(COUNT(D167:G167)=0,"",COUNT(D167:G167))</f>
        <v/>
      </c>
      <c r="I167" s="23"/>
      <c r="J167" s="23"/>
      <c r="K167" s="23"/>
      <c r="L167" s="23"/>
      <c r="M167" s="23"/>
    </row>
    <row r="168" customFormat="false" ht="15" hidden="false" customHeight="false" outlineLevel="0" collapsed="false">
      <c r="A168" s="22"/>
      <c r="B168" s="23"/>
      <c r="C168" s="23"/>
      <c r="D168" s="23"/>
      <c r="E168" s="23"/>
      <c r="F168" s="23"/>
      <c r="G168" s="23"/>
      <c r="H168" s="23" t="str">
        <f aca="false">IF(COUNT(D168:G168)=0,"",COUNT(D168:G168))</f>
        <v/>
      </c>
      <c r="I168" s="23"/>
      <c r="J168" s="23"/>
      <c r="K168" s="23"/>
      <c r="L168" s="23"/>
      <c r="M168" s="23"/>
    </row>
    <row r="169" customFormat="false" ht="15" hidden="false" customHeight="false" outlineLevel="0" collapsed="false">
      <c r="A169" s="22"/>
      <c r="B169" s="23"/>
      <c r="C169" s="23"/>
      <c r="D169" s="23"/>
      <c r="E169" s="23"/>
      <c r="F169" s="23"/>
      <c r="G169" s="23"/>
      <c r="H169" s="23" t="str">
        <f aca="false">IF(COUNT(D169:G169)=0,"",COUNT(D169:G169))</f>
        <v/>
      </c>
      <c r="I169" s="23"/>
      <c r="J169" s="23"/>
      <c r="K169" s="23"/>
      <c r="L169" s="23"/>
      <c r="M169" s="23"/>
    </row>
    <row r="170" customFormat="false" ht="15" hidden="false" customHeight="false" outlineLevel="0" collapsed="false">
      <c r="A170" s="22"/>
      <c r="B170" s="23"/>
      <c r="C170" s="23"/>
      <c r="D170" s="23"/>
      <c r="E170" s="23"/>
      <c r="F170" s="23"/>
      <c r="G170" s="23"/>
      <c r="H170" s="23" t="str">
        <f aca="false">IF(COUNT(D170:G170)=0,"",COUNT(D170:G170))</f>
        <v/>
      </c>
      <c r="I170" s="23"/>
      <c r="J170" s="23"/>
      <c r="K170" s="23"/>
      <c r="L170" s="23"/>
      <c r="M170" s="23"/>
    </row>
    <row r="171" customFormat="false" ht="15" hidden="false" customHeight="false" outlineLevel="0" collapsed="false">
      <c r="A171" s="22"/>
      <c r="B171" s="23"/>
      <c r="C171" s="23"/>
      <c r="D171" s="23"/>
      <c r="E171" s="23"/>
      <c r="F171" s="23"/>
      <c r="G171" s="23"/>
      <c r="H171" s="23" t="str">
        <f aca="false">IF(COUNT(D171:G171)=0,"",COUNT(D171:G171))</f>
        <v/>
      </c>
      <c r="I171" s="23"/>
      <c r="J171" s="23"/>
      <c r="K171" s="23"/>
      <c r="L171" s="23"/>
      <c r="M171" s="23"/>
    </row>
    <row r="172" customFormat="false" ht="15" hidden="false" customHeight="false" outlineLevel="0" collapsed="false">
      <c r="A172" s="22"/>
      <c r="B172" s="23"/>
      <c r="C172" s="23"/>
      <c r="D172" s="23"/>
      <c r="E172" s="23"/>
      <c r="F172" s="23"/>
      <c r="G172" s="23"/>
      <c r="H172" s="23" t="str">
        <f aca="false">IF(COUNT(D172:G172)=0,"",COUNT(D172:G172))</f>
        <v/>
      </c>
      <c r="I172" s="23"/>
      <c r="J172" s="23"/>
      <c r="K172" s="23"/>
      <c r="L172" s="23"/>
      <c r="M172" s="23"/>
    </row>
    <row r="173" customFormat="false" ht="15" hidden="false" customHeight="false" outlineLevel="0" collapsed="false">
      <c r="A173" s="22"/>
      <c r="B173" s="23"/>
      <c r="C173" s="23"/>
      <c r="D173" s="23"/>
      <c r="E173" s="23"/>
      <c r="F173" s="23"/>
      <c r="G173" s="23"/>
      <c r="H173" s="23" t="str">
        <f aca="false">IF(COUNT(D173:G173)=0,"",COUNT(D173:G173))</f>
        <v/>
      </c>
      <c r="I173" s="23"/>
      <c r="J173" s="23"/>
      <c r="K173" s="23"/>
      <c r="L173" s="23"/>
      <c r="M173" s="23"/>
    </row>
    <row r="174" customFormat="false" ht="15" hidden="false" customHeight="false" outlineLevel="0" collapsed="false">
      <c r="A174" s="22"/>
      <c r="B174" s="23"/>
      <c r="C174" s="23"/>
      <c r="D174" s="23"/>
      <c r="E174" s="23"/>
      <c r="F174" s="23"/>
      <c r="G174" s="23"/>
      <c r="H174" s="23" t="str">
        <f aca="false">IF(COUNT(D174:G174)=0,"",COUNT(D174:G174))</f>
        <v/>
      </c>
      <c r="I174" s="23"/>
      <c r="J174" s="23"/>
      <c r="K174" s="23"/>
      <c r="L174" s="23"/>
      <c r="M174" s="23"/>
    </row>
    <row r="175" customFormat="false" ht="15" hidden="false" customHeight="false" outlineLevel="0" collapsed="false">
      <c r="A175" s="22"/>
      <c r="B175" s="23"/>
      <c r="C175" s="23"/>
      <c r="D175" s="23"/>
      <c r="E175" s="23"/>
      <c r="F175" s="23"/>
      <c r="G175" s="23"/>
      <c r="H175" s="23" t="str">
        <f aca="false">IF(COUNT(D175:G175)=0,"",COUNT(D175:G175))</f>
        <v/>
      </c>
      <c r="I175" s="23"/>
      <c r="J175" s="23"/>
      <c r="K175" s="23"/>
      <c r="L175" s="23"/>
      <c r="M175" s="23"/>
    </row>
    <row r="176" customFormat="false" ht="15" hidden="false" customHeight="false" outlineLevel="0" collapsed="false">
      <c r="A176" s="22"/>
      <c r="B176" s="23"/>
      <c r="C176" s="23"/>
      <c r="D176" s="23"/>
      <c r="E176" s="23"/>
      <c r="F176" s="23"/>
      <c r="G176" s="23"/>
      <c r="H176" s="23" t="str">
        <f aca="false">IF(COUNT(D176:G176)=0,"",COUNT(D176:G176))</f>
        <v/>
      </c>
      <c r="I176" s="23"/>
      <c r="J176" s="23"/>
      <c r="K176" s="23"/>
      <c r="L176" s="23"/>
      <c r="M176" s="23"/>
    </row>
    <row r="177" customFormat="false" ht="15" hidden="false" customHeight="false" outlineLevel="0" collapsed="false">
      <c r="A177" s="22"/>
      <c r="B177" s="23"/>
      <c r="C177" s="23"/>
      <c r="D177" s="23"/>
      <c r="E177" s="23"/>
      <c r="F177" s="23"/>
      <c r="G177" s="23"/>
      <c r="H177" s="23" t="str">
        <f aca="false">IF(COUNT(D177:G177)=0,"",COUNT(D177:G177))</f>
        <v/>
      </c>
      <c r="I177" s="23"/>
      <c r="J177" s="23"/>
      <c r="K177" s="23"/>
      <c r="L177" s="23"/>
      <c r="M177" s="23"/>
    </row>
    <row r="178" customFormat="false" ht="15" hidden="false" customHeight="false" outlineLevel="0" collapsed="false">
      <c r="A178" s="22"/>
      <c r="B178" s="23"/>
      <c r="C178" s="23"/>
      <c r="D178" s="23"/>
      <c r="E178" s="23"/>
      <c r="F178" s="23"/>
      <c r="G178" s="23"/>
      <c r="H178" s="23" t="str">
        <f aca="false">IF(COUNT(D178:G178)=0,"",COUNT(D178:G178))</f>
        <v/>
      </c>
      <c r="I178" s="23"/>
      <c r="J178" s="23"/>
      <c r="K178" s="23"/>
      <c r="L178" s="23"/>
      <c r="M178" s="23"/>
    </row>
    <row r="179" customFormat="false" ht="15" hidden="false" customHeight="false" outlineLevel="0" collapsed="false">
      <c r="A179" s="22"/>
      <c r="B179" s="23"/>
      <c r="C179" s="23"/>
      <c r="D179" s="23"/>
      <c r="E179" s="23"/>
      <c r="F179" s="23"/>
      <c r="G179" s="23"/>
      <c r="H179" s="23" t="str">
        <f aca="false">IF(COUNT(D179:G179)=0,"",COUNT(D179:G179))</f>
        <v/>
      </c>
      <c r="I179" s="23"/>
      <c r="J179" s="23"/>
      <c r="K179" s="23"/>
      <c r="L179" s="23"/>
      <c r="M179" s="23"/>
    </row>
    <row r="180" customFormat="false" ht="15" hidden="false" customHeight="false" outlineLevel="0" collapsed="false">
      <c r="A180" s="22"/>
      <c r="B180" s="23"/>
      <c r="C180" s="23"/>
      <c r="D180" s="23"/>
      <c r="E180" s="23"/>
      <c r="F180" s="23"/>
      <c r="G180" s="23"/>
      <c r="H180" s="23" t="str">
        <f aca="false">IF(COUNT(D180:G180)=0,"",COUNT(D180:G180))</f>
        <v/>
      </c>
      <c r="I180" s="23"/>
      <c r="J180" s="23"/>
      <c r="K180" s="23"/>
      <c r="L180" s="23"/>
      <c r="M180" s="23"/>
    </row>
    <row r="181" customFormat="false" ht="15" hidden="false" customHeight="false" outlineLevel="0" collapsed="false">
      <c r="A181" s="22"/>
      <c r="B181" s="23"/>
      <c r="C181" s="23"/>
      <c r="D181" s="23"/>
      <c r="E181" s="23"/>
      <c r="F181" s="23"/>
      <c r="G181" s="23"/>
      <c r="H181" s="23" t="str">
        <f aca="false">IF(COUNT(D181:G181)=0,"",COUNT(D181:G181))</f>
        <v/>
      </c>
      <c r="I181" s="23"/>
      <c r="J181" s="23"/>
      <c r="K181" s="23"/>
      <c r="L181" s="23"/>
      <c r="M181" s="23"/>
    </row>
    <row r="182" customFormat="false" ht="15" hidden="false" customHeight="false" outlineLevel="0" collapsed="false">
      <c r="A182" s="22"/>
      <c r="B182" s="23"/>
      <c r="C182" s="23"/>
      <c r="D182" s="23"/>
      <c r="E182" s="23"/>
      <c r="F182" s="23"/>
      <c r="G182" s="23"/>
      <c r="H182" s="23" t="str">
        <f aca="false">IF(COUNT(D182:G182)=0,"",COUNT(D182:G182))</f>
        <v/>
      </c>
      <c r="I182" s="23"/>
      <c r="J182" s="23"/>
      <c r="K182" s="23"/>
      <c r="L182" s="23"/>
      <c r="M182" s="23"/>
    </row>
    <row r="183" customFormat="false" ht="15" hidden="false" customHeight="false" outlineLevel="0" collapsed="false">
      <c r="A183" s="22"/>
      <c r="B183" s="23"/>
      <c r="C183" s="23"/>
      <c r="D183" s="23"/>
      <c r="E183" s="23"/>
      <c r="F183" s="23"/>
      <c r="G183" s="23"/>
      <c r="H183" s="23" t="str">
        <f aca="false">IF(COUNT(D183:G183)=0,"",COUNT(D183:G183))</f>
        <v/>
      </c>
      <c r="I183" s="23"/>
      <c r="J183" s="23"/>
      <c r="K183" s="23"/>
      <c r="L183" s="23"/>
      <c r="M183" s="23"/>
    </row>
    <row r="184" customFormat="false" ht="15" hidden="false" customHeight="false" outlineLevel="0" collapsed="false">
      <c r="A184" s="22"/>
      <c r="B184" s="23"/>
      <c r="C184" s="23"/>
      <c r="D184" s="23"/>
      <c r="E184" s="23"/>
      <c r="F184" s="23"/>
      <c r="G184" s="23"/>
      <c r="H184" s="23" t="str">
        <f aca="false">IF(COUNT(D184:G184)=0,"",COUNT(D184:G184))</f>
        <v/>
      </c>
      <c r="I184" s="23"/>
      <c r="J184" s="23"/>
      <c r="K184" s="23"/>
      <c r="L184" s="23"/>
      <c r="M184" s="23"/>
    </row>
    <row r="185" customFormat="false" ht="15" hidden="false" customHeight="false" outlineLevel="0" collapsed="false">
      <c r="A185" s="22"/>
      <c r="B185" s="23"/>
      <c r="C185" s="23"/>
      <c r="D185" s="23"/>
      <c r="E185" s="23"/>
      <c r="F185" s="23"/>
      <c r="G185" s="23"/>
      <c r="H185" s="23" t="str">
        <f aca="false">IF(COUNT(D185:G185)=0,"",COUNT(D185:G185))</f>
        <v/>
      </c>
      <c r="I185" s="23"/>
      <c r="J185" s="23"/>
      <c r="K185" s="23"/>
      <c r="L185" s="23"/>
      <c r="M185" s="23"/>
    </row>
    <row r="186" customFormat="false" ht="15" hidden="false" customHeight="false" outlineLevel="0" collapsed="false">
      <c r="A186" s="22"/>
      <c r="B186" s="23"/>
      <c r="C186" s="23"/>
      <c r="D186" s="23"/>
      <c r="E186" s="23"/>
      <c r="F186" s="23"/>
      <c r="G186" s="23"/>
      <c r="H186" s="23" t="str">
        <f aca="false">IF(COUNT(D186:G186)=0,"",COUNT(D186:G186))</f>
        <v/>
      </c>
      <c r="I186" s="23"/>
      <c r="J186" s="23"/>
      <c r="K186" s="23"/>
      <c r="L186" s="23"/>
      <c r="M186" s="23"/>
    </row>
    <row r="187" customFormat="false" ht="15" hidden="false" customHeight="false" outlineLevel="0" collapsed="false">
      <c r="A187" s="22"/>
      <c r="B187" s="23"/>
      <c r="C187" s="23"/>
      <c r="D187" s="23"/>
      <c r="E187" s="23"/>
      <c r="F187" s="23"/>
      <c r="G187" s="23"/>
      <c r="H187" s="23" t="str">
        <f aca="false">IF(COUNT(D187:G187)=0,"",COUNT(D187:G187))</f>
        <v/>
      </c>
      <c r="I187" s="23"/>
      <c r="J187" s="23"/>
      <c r="K187" s="23"/>
      <c r="L187" s="23"/>
      <c r="M187" s="23"/>
    </row>
    <row r="188" customFormat="false" ht="15" hidden="false" customHeight="false" outlineLevel="0" collapsed="false">
      <c r="A188" s="22"/>
      <c r="B188" s="23"/>
      <c r="C188" s="23"/>
      <c r="D188" s="23"/>
      <c r="E188" s="23"/>
      <c r="F188" s="23"/>
      <c r="G188" s="23"/>
      <c r="H188" s="23" t="str">
        <f aca="false">IF(COUNT(D188:G188)=0,"",COUNT(D188:G188))</f>
        <v/>
      </c>
      <c r="I188" s="23"/>
      <c r="J188" s="23"/>
      <c r="K188" s="23"/>
      <c r="L188" s="23"/>
      <c r="M188" s="23"/>
    </row>
    <row r="189" customFormat="false" ht="15" hidden="false" customHeight="false" outlineLevel="0" collapsed="false">
      <c r="A189" s="22"/>
      <c r="B189" s="23"/>
      <c r="C189" s="23"/>
      <c r="D189" s="23"/>
      <c r="E189" s="23"/>
      <c r="F189" s="23"/>
      <c r="G189" s="23"/>
      <c r="H189" s="23" t="str">
        <f aca="false">IF(COUNT(D189:G189)=0,"",COUNT(D189:G189))</f>
        <v/>
      </c>
      <c r="I189" s="23"/>
      <c r="J189" s="23"/>
      <c r="K189" s="23"/>
      <c r="L189" s="23"/>
      <c r="M189" s="23"/>
    </row>
    <row r="190" customFormat="false" ht="15" hidden="false" customHeight="false" outlineLevel="0" collapsed="false">
      <c r="A190" s="22"/>
      <c r="B190" s="23"/>
      <c r="C190" s="23"/>
      <c r="D190" s="23"/>
      <c r="E190" s="23"/>
      <c r="F190" s="23"/>
      <c r="G190" s="23"/>
      <c r="H190" s="23" t="str">
        <f aca="false">IF(COUNT(D190:G190)=0,"",COUNT(D190:G190))</f>
        <v/>
      </c>
      <c r="I190" s="23"/>
      <c r="J190" s="23"/>
      <c r="K190" s="23"/>
      <c r="L190" s="23"/>
      <c r="M190" s="23"/>
    </row>
    <row r="191" customFormat="false" ht="15" hidden="false" customHeight="false" outlineLevel="0" collapsed="false">
      <c r="A191" s="22"/>
      <c r="B191" s="23"/>
      <c r="C191" s="23"/>
      <c r="D191" s="23"/>
      <c r="E191" s="23"/>
      <c r="F191" s="23"/>
      <c r="G191" s="23"/>
      <c r="H191" s="23" t="str">
        <f aca="false">IF(COUNT(D191:G191)=0,"",COUNT(D191:G191))</f>
        <v/>
      </c>
      <c r="I191" s="23"/>
      <c r="J191" s="23"/>
      <c r="K191" s="23"/>
      <c r="L191" s="23"/>
      <c r="M191" s="23"/>
    </row>
    <row r="192" customFormat="false" ht="15" hidden="false" customHeight="false" outlineLevel="0" collapsed="false">
      <c r="A192" s="22"/>
      <c r="B192" s="23"/>
      <c r="C192" s="23"/>
      <c r="D192" s="23"/>
      <c r="E192" s="23"/>
      <c r="F192" s="23"/>
      <c r="G192" s="23"/>
      <c r="H192" s="23" t="str">
        <f aca="false">IF(COUNT(D192:G192)=0,"",COUNT(D192:G192))</f>
        <v/>
      </c>
      <c r="I192" s="23"/>
      <c r="J192" s="23"/>
      <c r="K192" s="23"/>
      <c r="L192" s="23"/>
      <c r="M192" s="23"/>
    </row>
    <row r="193" customFormat="false" ht="15" hidden="false" customHeight="false" outlineLevel="0" collapsed="false">
      <c r="A193" s="22"/>
      <c r="B193" s="23"/>
      <c r="C193" s="23"/>
      <c r="D193" s="23"/>
      <c r="E193" s="23"/>
      <c r="F193" s="23"/>
      <c r="G193" s="23"/>
      <c r="H193" s="23" t="str">
        <f aca="false">IF(COUNT(D193:G193)=0,"",COUNT(D193:G193))</f>
        <v/>
      </c>
      <c r="I193" s="23"/>
      <c r="J193" s="23"/>
      <c r="K193" s="23"/>
      <c r="L193" s="23"/>
      <c r="M193" s="23"/>
    </row>
    <row r="194" customFormat="false" ht="15" hidden="false" customHeight="false" outlineLevel="0" collapsed="false">
      <c r="A194" s="22"/>
      <c r="B194" s="23"/>
      <c r="C194" s="23"/>
      <c r="D194" s="23"/>
      <c r="E194" s="23"/>
      <c r="F194" s="23"/>
      <c r="G194" s="23"/>
      <c r="H194" s="23" t="str">
        <f aca="false">IF(COUNT(D194:G194)=0,"",COUNT(D194:G194))</f>
        <v/>
      </c>
      <c r="I194" s="23"/>
      <c r="J194" s="23"/>
      <c r="K194" s="23"/>
      <c r="L194" s="23"/>
      <c r="M194" s="23"/>
    </row>
    <row r="195" customFormat="false" ht="15" hidden="false" customHeight="false" outlineLevel="0" collapsed="false">
      <c r="A195" s="22"/>
      <c r="B195" s="23"/>
      <c r="C195" s="23"/>
      <c r="D195" s="23"/>
      <c r="E195" s="23"/>
      <c r="F195" s="23"/>
      <c r="G195" s="23"/>
      <c r="H195" s="23" t="str">
        <f aca="false">IF(COUNT(D195:G195)=0,"",COUNT(D195:G195))</f>
        <v/>
      </c>
      <c r="I195" s="23"/>
      <c r="J195" s="23"/>
      <c r="K195" s="23"/>
      <c r="L195" s="23"/>
      <c r="M195" s="23"/>
    </row>
    <row r="196" customFormat="false" ht="15" hidden="false" customHeight="false" outlineLevel="0" collapsed="false">
      <c r="A196" s="22"/>
      <c r="B196" s="23"/>
      <c r="C196" s="23"/>
      <c r="D196" s="23"/>
      <c r="E196" s="23"/>
      <c r="F196" s="23"/>
      <c r="G196" s="23"/>
      <c r="H196" s="23" t="str">
        <f aca="false">IF(COUNT(D196:G196)=0,"",COUNT(D196:G196))</f>
        <v/>
      </c>
      <c r="I196" s="23"/>
      <c r="J196" s="23"/>
      <c r="K196" s="23"/>
      <c r="L196" s="23"/>
      <c r="M196" s="23"/>
    </row>
    <row r="197" customFormat="false" ht="15" hidden="false" customHeight="false" outlineLevel="0" collapsed="false">
      <c r="A197" s="22"/>
      <c r="B197" s="23"/>
      <c r="C197" s="23"/>
      <c r="D197" s="23"/>
      <c r="E197" s="23"/>
      <c r="F197" s="23"/>
      <c r="G197" s="23"/>
      <c r="H197" s="23" t="str">
        <f aca="false">IF(COUNT(D197:G197)=0,"",COUNT(D197:G197))</f>
        <v/>
      </c>
      <c r="I197" s="23"/>
      <c r="J197" s="23"/>
      <c r="K197" s="23"/>
      <c r="L197" s="23"/>
      <c r="M197" s="23"/>
    </row>
    <row r="198" customFormat="false" ht="15" hidden="false" customHeight="false" outlineLevel="0" collapsed="false">
      <c r="A198" s="22"/>
      <c r="B198" s="23"/>
      <c r="C198" s="23"/>
      <c r="D198" s="23"/>
      <c r="E198" s="23"/>
      <c r="F198" s="23"/>
      <c r="G198" s="23"/>
      <c r="H198" s="23" t="str">
        <f aca="false">IF(COUNT(D198:G198)=0,"",COUNT(D198:G198))</f>
        <v/>
      </c>
      <c r="I198" s="23"/>
      <c r="J198" s="23"/>
      <c r="K198" s="23"/>
      <c r="L198" s="23"/>
      <c r="M198" s="23"/>
    </row>
    <row r="199" customFormat="false" ht="15" hidden="false" customHeight="false" outlineLevel="0" collapsed="false">
      <c r="A199" s="22"/>
      <c r="B199" s="23"/>
      <c r="C199" s="23"/>
      <c r="D199" s="23"/>
      <c r="E199" s="23"/>
      <c r="F199" s="23"/>
      <c r="G199" s="23"/>
      <c r="H199" s="23" t="str">
        <f aca="false">IF(COUNT(D199:G199)=0,"",COUNT(D199:G199))</f>
        <v/>
      </c>
      <c r="I199" s="23"/>
      <c r="J199" s="23"/>
      <c r="K199" s="23"/>
      <c r="L199" s="23"/>
      <c r="M199" s="23"/>
    </row>
    <row r="200" customFormat="false" ht="15" hidden="false" customHeight="false" outlineLevel="0" collapsed="false">
      <c r="A200" s="22"/>
      <c r="B200" s="23"/>
      <c r="C200" s="23"/>
      <c r="D200" s="23"/>
      <c r="E200" s="23"/>
      <c r="F200" s="23"/>
      <c r="G200" s="23"/>
      <c r="H200" s="23" t="str">
        <f aca="false">IF(COUNT(D200:G200)=0,"",COUNT(D200:G200))</f>
        <v/>
      </c>
      <c r="I200" s="23"/>
      <c r="J200" s="23"/>
      <c r="K200" s="23"/>
      <c r="L200" s="23"/>
      <c r="M200" s="23"/>
    </row>
    <row r="201" customFormat="false" ht="15" hidden="false" customHeight="false" outlineLevel="0" collapsed="false">
      <c r="A201" s="22"/>
      <c r="B201" s="23"/>
      <c r="C201" s="23"/>
      <c r="D201" s="23"/>
      <c r="E201" s="23"/>
      <c r="F201" s="23"/>
      <c r="G201" s="23"/>
      <c r="H201" s="23" t="str">
        <f aca="false">IF(COUNT(D201:G201)=0,"",COUNT(D201:G201))</f>
        <v/>
      </c>
      <c r="I201" s="23"/>
      <c r="J201" s="23"/>
      <c r="K201" s="23"/>
      <c r="L201" s="23"/>
      <c r="M201" s="23"/>
    </row>
    <row r="202" customFormat="false" ht="15" hidden="false" customHeight="false" outlineLevel="0" collapsed="false">
      <c r="A202" s="22"/>
      <c r="B202" s="23"/>
      <c r="C202" s="23"/>
      <c r="D202" s="23"/>
      <c r="E202" s="23"/>
      <c r="F202" s="23"/>
      <c r="G202" s="23"/>
      <c r="H202" s="23" t="str">
        <f aca="false">IF(COUNT(D202:G202)=0,"",COUNT(D202:G202))</f>
        <v/>
      </c>
      <c r="I202" s="23"/>
      <c r="J202" s="23"/>
      <c r="K202" s="23"/>
      <c r="L202" s="23"/>
      <c r="M202" s="23"/>
    </row>
    <row r="203" customFormat="false" ht="15" hidden="false" customHeight="false" outlineLevel="0" collapsed="false">
      <c r="A203" s="22"/>
      <c r="B203" s="23"/>
      <c r="C203" s="23"/>
      <c r="D203" s="23"/>
      <c r="E203" s="23"/>
      <c r="F203" s="23"/>
      <c r="G203" s="23"/>
      <c r="H203" s="23" t="str">
        <f aca="false">IF(COUNT(D203:G203)=0,"",COUNT(D203:G203))</f>
        <v/>
      </c>
      <c r="I203" s="23"/>
      <c r="J203" s="23"/>
      <c r="K203" s="23"/>
      <c r="L203" s="23"/>
      <c r="M203" s="23"/>
    </row>
    <row r="204" customFormat="false" ht="15" hidden="false" customHeight="false" outlineLevel="0" collapsed="false">
      <c r="A204" s="22"/>
      <c r="B204" s="23"/>
      <c r="C204" s="23"/>
      <c r="D204" s="23"/>
      <c r="E204" s="23"/>
      <c r="F204" s="23"/>
      <c r="G204" s="23"/>
      <c r="H204" s="23" t="str">
        <f aca="false">IF(COUNT(D204:G204)=0,"",COUNT(D204:G204))</f>
        <v/>
      </c>
      <c r="I204" s="23"/>
      <c r="J204" s="23"/>
      <c r="K204" s="23"/>
      <c r="L204" s="23"/>
      <c r="M204" s="23"/>
    </row>
  </sheetData>
  <dataValidations count="2">
    <dataValidation allowBlank="true" errorStyle="stop" operator="between" showDropDown="false" showErrorMessage="false" showInputMessage="false" sqref="B5:B204" type="list">
      <formula1>"LC Weekly,LC Biweekly,Virtual,Mock OA,Mock Interview,Codeforces"</formula1>
      <formula2>0</formula2>
    </dataValidation>
    <dataValidation allowBlank="true" errorStyle="stop" operator="between" showDropDown="false" showErrorMessage="false" showInputMessage="false" sqref="K5:K20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352</v>
      </c>
    </row>
    <row r="3" customFormat="false" ht="15" hidden="false" customHeight="false" outlineLevel="0" collapsed="false">
      <c r="A3" s="3" t="s">
        <v>353</v>
      </c>
      <c r="B3" s="24" t="n">
        <f aca="false">SUM(B9:B24)</f>
        <v>200</v>
      </c>
      <c r="C3" s="5" t="s">
        <v>354</v>
      </c>
      <c r="D3" s="24"/>
      <c r="E3" s="24"/>
      <c r="F3" s="24"/>
    </row>
    <row r="4" customFormat="false" ht="15" hidden="false" customHeight="false" outlineLevel="0" collapsed="false">
      <c r="A4" s="3" t="s">
        <v>355</v>
      </c>
      <c r="B4" s="24" t="n">
        <f aca="false">SUM(D9:D24)</f>
        <v>0</v>
      </c>
      <c r="C4" s="24"/>
      <c r="D4" s="24"/>
      <c r="E4" s="24"/>
      <c r="F4" s="24"/>
    </row>
    <row r="5" customFormat="false" ht="15" hidden="false" customHeight="false" outlineLevel="0" collapsed="false">
      <c r="A5" s="3" t="s">
        <v>27</v>
      </c>
      <c r="B5" s="24" t="n">
        <f aca="false">SUM(E9:E24)</f>
        <v>0</v>
      </c>
      <c r="C5" s="24"/>
      <c r="D5" s="24"/>
      <c r="E5" s="24"/>
      <c r="F5" s="24"/>
    </row>
    <row r="6" customFormat="false" ht="15" hidden="false" customHeight="false" outlineLevel="0" collapsed="false">
      <c r="A6" s="3" t="s">
        <v>356</v>
      </c>
      <c r="B6" s="24" t="n">
        <f aca="true">COUNTIFS(Problems!$K:$K,"&lt;="&amp;TODAY())</f>
        <v>0</v>
      </c>
      <c r="C6" s="24"/>
      <c r="D6" s="24"/>
      <c r="E6" s="24"/>
      <c r="F6" s="24"/>
    </row>
    <row r="7" customFormat="false" ht="15" hidden="false" customHeight="false" outlineLevel="0" collapsed="false">
      <c r="A7" s="3" t="s">
        <v>357</v>
      </c>
      <c r="B7" s="25" t="n">
        <f aca="false">IF(B3=0,0,B4/B3)</f>
        <v>0</v>
      </c>
      <c r="C7" s="24"/>
      <c r="D7" s="24"/>
      <c r="E7" s="24"/>
      <c r="F7" s="24"/>
    </row>
    <row r="8" customFormat="false" ht="15" hidden="false" customHeight="false" outlineLevel="0" collapsed="false">
      <c r="A8" s="9" t="s">
        <v>119</v>
      </c>
      <c r="B8" s="9" t="s">
        <v>117</v>
      </c>
      <c r="C8" s="9" t="s">
        <v>21</v>
      </c>
      <c r="D8" s="9" t="s">
        <v>358</v>
      </c>
      <c r="E8" s="9" t="s">
        <v>27</v>
      </c>
      <c r="F8" s="9" t="s">
        <v>359</v>
      </c>
    </row>
    <row r="9" customFormat="false" ht="15" hidden="false" customHeight="false" outlineLevel="0" collapsed="false">
      <c r="A9" s="16" t="s">
        <v>79</v>
      </c>
      <c r="B9" s="16" t="n">
        <f aca="false">COUNTIF(Problems!$C:$C,A9)</f>
        <v>13</v>
      </c>
      <c r="C9" s="16" t="n">
        <f aca="false">COUNTIFS(Problems!$C:$C,A9,Problems!$G:$G,"Todo")</f>
        <v>13</v>
      </c>
      <c r="D9" s="16" t="n">
        <f aca="false">B9-C9</f>
        <v>0</v>
      </c>
      <c r="E9" s="16" t="n">
        <f aca="false">COUNTIFS(Problems!$C:$C,A9,Problems!$G:$G,"Mastered")</f>
        <v>0</v>
      </c>
      <c r="F9" s="26" t="n">
        <f aca="false">IF(B9=0,0,D9/B9)</f>
        <v>0</v>
      </c>
    </row>
    <row r="10" customFormat="false" ht="15" hidden="false" customHeight="false" outlineLevel="0" collapsed="false">
      <c r="A10" s="16" t="s">
        <v>82</v>
      </c>
      <c r="B10" s="16" t="n">
        <f aca="false">COUNTIF(Problems!$C:$C,A10)</f>
        <v>13</v>
      </c>
      <c r="C10" s="16" t="n">
        <f aca="false">COUNTIFS(Problems!$C:$C,A10,Problems!$G:$G,"Todo")</f>
        <v>13</v>
      </c>
      <c r="D10" s="16" t="n">
        <f aca="false">B10-C10</f>
        <v>0</v>
      </c>
      <c r="E10" s="16" t="n">
        <f aca="false">COUNTIFS(Problems!$C:$C,A10,Problems!$G:$G,"Mastered")</f>
        <v>0</v>
      </c>
      <c r="F10" s="26" t="n">
        <f aca="false">IF(B10=0,0,D10/B10)</f>
        <v>0</v>
      </c>
    </row>
    <row r="11" customFormat="false" ht="15" hidden="false" customHeight="false" outlineLevel="0" collapsed="false">
      <c r="A11" s="16" t="s">
        <v>84</v>
      </c>
      <c r="B11" s="16" t="n">
        <f aca="false">COUNTIF(Problems!$C:$C,A11)</f>
        <v>12</v>
      </c>
      <c r="C11" s="16" t="n">
        <f aca="false">COUNTIFS(Problems!$C:$C,A11,Problems!$G:$G,"Todo")</f>
        <v>12</v>
      </c>
      <c r="D11" s="16" t="n">
        <f aca="false">B11-C11</f>
        <v>0</v>
      </c>
      <c r="E11" s="16" t="n">
        <f aca="false">COUNTIFS(Problems!$C:$C,A11,Problems!$G:$G,"Mastered")</f>
        <v>0</v>
      </c>
      <c r="F11" s="26" t="n">
        <f aca="false">IF(B11=0,0,D11/B11)</f>
        <v>0</v>
      </c>
    </row>
    <row r="12" customFormat="false" ht="15" hidden="false" customHeight="false" outlineLevel="0" collapsed="false">
      <c r="A12" s="16" t="s">
        <v>86</v>
      </c>
      <c r="B12" s="16" t="n">
        <f aca="false">COUNTIF(Problems!$C:$C,A12)</f>
        <v>13</v>
      </c>
      <c r="C12" s="16" t="n">
        <f aca="false">COUNTIFS(Problems!$C:$C,A12,Problems!$G:$G,"Todo")</f>
        <v>13</v>
      </c>
      <c r="D12" s="16" t="n">
        <f aca="false">B12-C12</f>
        <v>0</v>
      </c>
      <c r="E12" s="16" t="n">
        <f aca="false">COUNTIFS(Problems!$C:$C,A12,Problems!$G:$G,"Mastered")</f>
        <v>0</v>
      </c>
      <c r="F12" s="26" t="n">
        <f aca="false">IF(B12=0,0,D12/B12)</f>
        <v>0</v>
      </c>
    </row>
    <row r="13" customFormat="false" ht="15" hidden="false" customHeight="false" outlineLevel="0" collapsed="false">
      <c r="A13" s="16" t="s">
        <v>88</v>
      </c>
      <c r="B13" s="16" t="n">
        <f aca="false">COUNTIF(Problems!$C:$C,A13)</f>
        <v>12</v>
      </c>
      <c r="C13" s="16" t="n">
        <f aca="false">COUNTIFS(Problems!$C:$C,A13,Problems!$G:$G,"Todo")</f>
        <v>12</v>
      </c>
      <c r="D13" s="16" t="n">
        <f aca="false">B13-C13</f>
        <v>0</v>
      </c>
      <c r="E13" s="16" t="n">
        <f aca="false">COUNTIFS(Problems!$C:$C,A13,Problems!$G:$G,"Mastered")</f>
        <v>0</v>
      </c>
      <c r="F13" s="26" t="n">
        <f aca="false">IF(B13=0,0,D13/B13)</f>
        <v>0</v>
      </c>
    </row>
    <row r="14" customFormat="false" ht="15" hidden="false" customHeight="false" outlineLevel="0" collapsed="false">
      <c r="A14" s="16" t="s">
        <v>92</v>
      </c>
      <c r="B14" s="16" t="n">
        <f aca="false">COUNTIF(Problems!$C:$C,A14)</f>
        <v>12</v>
      </c>
      <c r="C14" s="16" t="n">
        <f aca="false">COUNTIFS(Problems!$C:$C,A14,Problems!$G:$G,"Todo")</f>
        <v>12</v>
      </c>
      <c r="D14" s="16" t="n">
        <f aca="false">B14-C14</f>
        <v>0</v>
      </c>
      <c r="E14" s="16" t="n">
        <f aca="false">COUNTIFS(Problems!$C:$C,A14,Problems!$G:$G,"Mastered")</f>
        <v>0</v>
      </c>
      <c r="F14" s="26" t="n">
        <f aca="false">IF(B14=0,0,D14/B14)</f>
        <v>0</v>
      </c>
    </row>
    <row r="15" customFormat="false" ht="15" hidden="false" customHeight="false" outlineLevel="0" collapsed="false">
      <c r="A15" s="16" t="s">
        <v>94</v>
      </c>
      <c r="B15" s="16" t="n">
        <f aca="false">COUNTIF(Problems!$C:$C,A15)</f>
        <v>13</v>
      </c>
      <c r="C15" s="16" t="n">
        <f aca="false">COUNTIFS(Problems!$C:$C,A15,Problems!$G:$G,"Todo")</f>
        <v>13</v>
      </c>
      <c r="D15" s="16" t="n">
        <f aca="false">B15-C15</f>
        <v>0</v>
      </c>
      <c r="E15" s="16" t="n">
        <f aca="false">COUNTIFS(Problems!$C:$C,A15,Problems!$G:$G,"Mastered")</f>
        <v>0</v>
      </c>
      <c r="F15" s="26" t="n">
        <f aca="false">IF(B15=0,0,D15/B15)</f>
        <v>0</v>
      </c>
    </row>
    <row r="16" customFormat="false" ht="15" hidden="false" customHeight="false" outlineLevel="0" collapsed="false">
      <c r="A16" s="16" t="s">
        <v>96</v>
      </c>
      <c r="B16" s="16" t="n">
        <f aca="false">COUNTIF(Problems!$C:$C,A16)</f>
        <v>12</v>
      </c>
      <c r="C16" s="16" t="n">
        <f aca="false">COUNTIFS(Problems!$C:$C,A16,Problems!$G:$G,"Todo")</f>
        <v>12</v>
      </c>
      <c r="D16" s="16" t="n">
        <f aca="false">B16-C16</f>
        <v>0</v>
      </c>
      <c r="E16" s="16" t="n">
        <f aca="false">COUNTIFS(Problems!$C:$C,A16,Problems!$G:$G,"Mastered")</f>
        <v>0</v>
      </c>
      <c r="F16" s="26" t="n">
        <f aca="false">IF(B16=0,0,D16/B16)</f>
        <v>0</v>
      </c>
    </row>
    <row r="17" customFormat="false" ht="15" hidden="false" customHeight="false" outlineLevel="0" collapsed="false">
      <c r="A17" s="16" t="s">
        <v>98</v>
      </c>
      <c r="B17" s="16" t="n">
        <f aca="false">COUNTIF(Problems!$C:$C,A17)</f>
        <v>13</v>
      </c>
      <c r="C17" s="16" t="n">
        <f aca="false">COUNTIFS(Problems!$C:$C,A17,Problems!$G:$G,"Todo")</f>
        <v>13</v>
      </c>
      <c r="D17" s="16" t="n">
        <f aca="false">B17-C17</f>
        <v>0</v>
      </c>
      <c r="E17" s="16" t="n">
        <f aca="false">COUNTIFS(Problems!$C:$C,A17,Problems!$G:$G,"Mastered")</f>
        <v>0</v>
      </c>
      <c r="F17" s="26" t="n">
        <f aca="false">IF(B17=0,0,D17/B17)</f>
        <v>0</v>
      </c>
    </row>
    <row r="18" customFormat="false" ht="15" hidden="false" customHeight="false" outlineLevel="0" collapsed="false">
      <c r="A18" s="16" t="s">
        <v>100</v>
      </c>
      <c r="B18" s="16" t="n">
        <f aca="false">COUNTIF(Problems!$C:$C,A18)</f>
        <v>12</v>
      </c>
      <c r="C18" s="16" t="n">
        <f aca="false">COUNTIFS(Problems!$C:$C,A18,Problems!$G:$G,"Todo")</f>
        <v>12</v>
      </c>
      <c r="D18" s="16" t="n">
        <f aca="false">B18-C18</f>
        <v>0</v>
      </c>
      <c r="E18" s="16" t="n">
        <f aca="false">COUNTIFS(Problems!$C:$C,A18,Problems!$G:$G,"Mastered")</f>
        <v>0</v>
      </c>
      <c r="F18" s="26" t="n">
        <f aca="false">IF(B18=0,0,D18/B18)</f>
        <v>0</v>
      </c>
    </row>
    <row r="19" customFormat="false" ht="15" hidden="false" customHeight="false" outlineLevel="0" collapsed="false">
      <c r="A19" s="16" t="s">
        <v>102</v>
      </c>
      <c r="B19" s="16" t="n">
        <f aca="false">COUNTIF(Problems!$C:$C,A19)</f>
        <v>12</v>
      </c>
      <c r="C19" s="16" t="n">
        <f aca="false">COUNTIFS(Problems!$C:$C,A19,Problems!$G:$G,"Todo")</f>
        <v>12</v>
      </c>
      <c r="D19" s="16" t="n">
        <f aca="false">B19-C19</f>
        <v>0</v>
      </c>
      <c r="E19" s="16" t="n">
        <f aca="false">COUNTIFS(Problems!$C:$C,A19,Problems!$G:$G,"Mastered")</f>
        <v>0</v>
      </c>
      <c r="F19" s="26" t="n">
        <f aca="false">IF(B19=0,0,D19/B19)</f>
        <v>0</v>
      </c>
    </row>
    <row r="20" customFormat="false" ht="15" hidden="false" customHeight="false" outlineLevel="0" collapsed="false">
      <c r="A20" s="16" t="s">
        <v>106</v>
      </c>
      <c r="B20" s="16" t="n">
        <f aca="false">COUNTIF(Problems!$C:$C,A20)</f>
        <v>13</v>
      </c>
      <c r="C20" s="16" t="n">
        <f aca="false">COUNTIFS(Problems!$C:$C,A20,Problems!$G:$G,"Todo")</f>
        <v>13</v>
      </c>
      <c r="D20" s="16" t="n">
        <f aca="false">B20-C20</f>
        <v>0</v>
      </c>
      <c r="E20" s="16" t="n">
        <f aca="false">COUNTIFS(Problems!$C:$C,A20,Problems!$G:$G,"Mastered")</f>
        <v>0</v>
      </c>
      <c r="F20" s="26" t="n">
        <f aca="false">IF(B20=0,0,D20/B20)</f>
        <v>0</v>
      </c>
    </row>
    <row r="21" customFormat="false" ht="15" hidden="false" customHeight="false" outlineLevel="0" collapsed="false">
      <c r="A21" s="16" t="s">
        <v>108</v>
      </c>
      <c r="B21" s="16" t="n">
        <f aca="false">COUNTIF(Problems!$C:$C,A21)</f>
        <v>12</v>
      </c>
      <c r="C21" s="16" t="n">
        <f aca="false">COUNTIFS(Problems!$C:$C,A21,Problems!$G:$G,"Todo")</f>
        <v>12</v>
      </c>
      <c r="D21" s="16" t="n">
        <f aca="false">B21-C21</f>
        <v>0</v>
      </c>
      <c r="E21" s="16" t="n">
        <f aca="false">COUNTIFS(Problems!$C:$C,A21,Problems!$G:$G,"Mastered")</f>
        <v>0</v>
      </c>
      <c r="F21" s="26" t="n">
        <f aca="false">IF(B21=0,0,D21/B21)</f>
        <v>0</v>
      </c>
    </row>
    <row r="22" customFormat="false" ht="15" hidden="false" customHeight="false" outlineLevel="0" collapsed="false">
      <c r="A22" s="16" t="s">
        <v>110</v>
      </c>
      <c r="B22" s="16" t="n">
        <f aca="false">COUNTIF(Problems!$C:$C,A22)</f>
        <v>13</v>
      </c>
      <c r="C22" s="16" t="n">
        <f aca="false">COUNTIFS(Problems!$C:$C,A22,Problems!$G:$G,"Todo")</f>
        <v>13</v>
      </c>
      <c r="D22" s="16" t="n">
        <f aca="false">B22-C22</f>
        <v>0</v>
      </c>
      <c r="E22" s="16" t="n">
        <f aca="false">COUNTIFS(Problems!$C:$C,A22,Problems!$G:$G,"Mastered")</f>
        <v>0</v>
      </c>
      <c r="F22" s="26" t="n">
        <f aca="false">IF(B22=0,0,D22/B22)</f>
        <v>0</v>
      </c>
    </row>
    <row r="23" customFormat="false" ht="15" hidden="false" customHeight="false" outlineLevel="0" collapsed="false">
      <c r="A23" s="16" t="s">
        <v>112</v>
      </c>
      <c r="B23" s="16" t="n">
        <f aca="false">COUNTIF(Problems!$C:$C,A23)</f>
        <v>12</v>
      </c>
      <c r="C23" s="16" t="n">
        <f aca="false">COUNTIFS(Problems!$C:$C,A23,Problems!$G:$G,"Todo")</f>
        <v>12</v>
      </c>
      <c r="D23" s="16" t="n">
        <f aca="false">B23-C23</f>
        <v>0</v>
      </c>
      <c r="E23" s="16" t="n">
        <f aca="false">COUNTIFS(Problems!$C:$C,A23,Problems!$G:$G,"Mastered")</f>
        <v>0</v>
      </c>
      <c r="F23" s="26" t="n">
        <f aca="false">IF(B23=0,0,D23/B23)</f>
        <v>0</v>
      </c>
    </row>
    <row r="24" customFormat="false" ht="15" hidden="false" customHeight="false" outlineLevel="0" collapsed="false">
      <c r="A24" s="16" t="s">
        <v>114</v>
      </c>
      <c r="B24" s="16" t="n">
        <f aca="false">COUNTIF(Problems!$C:$C,A24)</f>
        <v>13</v>
      </c>
      <c r="C24" s="16" t="n">
        <f aca="false">COUNTIFS(Problems!$C:$C,A24,Problems!$G:$G,"Todo")</f>
        <v>13</v>
      </c>
      <c r="D24" s="16" t="n">
        <f aca="false">B24-C24</f>
        <v>0</v>
      </c>
      <c r="E24" s="16" t="n">
        <f aca="false">COUNTIFS(Problems!$C:$C,A24,Problems!$G:$G,"Mastered")</f>
        <v>0</v>
      </c>
      <c r="F24" s="26" t="n">
        <f aca="false">IF(B24=0,0,D24/B24)</f>
        <v>0</v>
      </c>
    </row>
  </sheetData>
  <conditionalFormatting sqref="F9:F24">
    <cfRule type="dataBar" priority="2">
      <dataBar showValue="1" minLength="10" maxLength="90">
        <cfvo type="num" val="0"/>
        <cfvo type="num" val="1"/>
        <color rgb="FF5B9BD5"/>
      </dataBar>
      <extLst>
        <ext xmlns:x14="http://schemas.microsoft.com/office/spreadsheetml/2009/9/main" uri="{B025F937-C7B1-47D3-B67F-A62EFF666E3E}">
          <x14:id>{8D3D5F30-4579-49D0-969A-4241D4128F90}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3D5F30-4579-49D0-969A-4241D4128F9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B9BD5"/>
              <x14:axisColor rgb="FF000000"/>
            </x14:dataBar>
          </x14:cfRule>
          <xm:sqref>F9:F24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2026-10-19T09:34:10Z</dcterms:created>
  <dc:creator>openpyxl</dc:creator>
  <dc:description/>
  <dc:language>en-US</dc:language>
  <cp:lastModifiedBy/>
  <dcterms:modified xsi:type="dcterms:W3CDTF">2026-10-19T09:34:11Z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